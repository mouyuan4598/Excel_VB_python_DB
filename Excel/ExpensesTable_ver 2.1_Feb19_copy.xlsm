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 tabRatio="701" activeTab="1"/>
  </bookViews>
  <sheets>
    <sheet name="Outcome" sheetId="1" r:id="rId1"/>
    <sheet name="Income" sheetId="2" r:id="rId2"/>
    <sheet name="Sheet5" sheetId="11" state="hidden" r:id="rId3"/>
  </sheets>
  <functionGroups/>
  <definedNames>
    <definedName name="_xlnm._FilterDatabase" localSheetId="1" hidden="1">Income!$A$1:$K$4</definedName>
    <definedName name="_xlnm._FilterDatabase" localSheetId="0" hidden="1">Outcome!$A$1:$M$6</definedName>
  </definedNames>
  <calcPr calcId="124519"/>
</workbook>
</file>

<file path=xl/calcChain.xml><?xml version="1.0" encoding="utf-8"?>
<calcChain xmlns="http://schemas.openxmlformats.org/spreadsheetml/2006/main">
  <c r="D30" i="1"/>
  <c r="D4"/>
  <c r="D29"/>
  <c r="D28"/>
  <c r="D27"/>
  <c r="D26"/>
  <c r="D25"/>
  <c r="D24"/>
  <c r="D23"/>
  <c r="D12" i="2"/>
  <c r="D4"/>
  <c r="D11"/>
  <c r="D22" i="1"/>
  <c r="D21"/>
  <c r="D20"/>
  <c r="D19"/>
  <c r="D18"/>
  <c r="D17"/>
  <c r="D16"/>
  <c r="D15"/>
  <c r="H13" i="2"/>
  <c r="D10"/>
  <c r="D9"/>
  <c r="D8"/>
  <c r="D14" i="1"/>
  <c r="D13"/>
  <c r="I31"/>
  <c r="D12"/>
  <c r="D11"/>
  <c r="D10"/>
  <c r="D9"/>
  <c r="D8"/>
  <c r="K1" l="1"/>
  <c r="D2"/>
  <c r="J1" i="2"/>
  <c r="D2"/>
</calcChain>
</file>

<file path=xl/sharedStrings.xml><?xml version="1.0" encoding="utf-8"?>
<sst xmlns="http://schemas.openxmlformats.org/spreadsheetml/2006/main" count="221" uniqueCount="93">
  <si>
    <t xml:space="preserve">Date </t>
  </si>
  <si>
    <t xml:space="preserve">Category </t>
  </si>
  <si>
    <t>Location</t>
  </si>
  <si>
    <t xml:space="preserve">Description </t>
  </si>
  <si>
    <t>Amount</t>
  </si>
  <si>
    <t xml:space="preserve">Status </t>
  </si>
  <si>
    <t>Remark</t>
  </si>
  <si>
    <t>Check</t>
  </si>
  <si>
    <t>#</t>
  </si>
  <si>
    <t>Delete</t>
  </si>
  <si>
    <t>Claimed</t>
  </si>
  <si>
    <t>Not Claimed</t>
  </si>
  <si>
    <t>Cash</t>
  </si>
  <si>
    <t>Donor</t>
  </si>
  <si>
    <t>Wallet</t>
  </si>
  <si>
    <t>On Hold</t>
  </si>
  <si>
    <t>Day</t>
  </si>
  <si>
    <t>Input area</t>
  </si>
  <si>
    <t>Paid</t>
  </si>
  <si>
    <t>Sub Category</t>
  </si>
  <si>
    <t>New Harbour</t>
  </si>
  <si>
    <t>Mixed Rice</t>
  </si>
  <si>
    <t>Noodle</t>
  </si>
  <si>
    <t>观音诞</t>
  </si>
  <si>
    <t>99 Speedmart</t>
  </si>
  <si>
    <t>The Loft Bakerys</t>
  </si>
  <si>
    <t>Go Noodle House</t>
  </si>
  <si>
    <t>Juice Works</t>
  </si>
  <si>
    <t>Seaweed Sushi</t>
  </si>
  <si>
    <t>Nyonya Kopitiam</t>
  </si>
  <si>
    <t>Yap Hup Kee Steamboat</t>
  </si>
  <si>
    <t>Cosway</t>
  </si>
  <si>
    <t>Daiso</t>
  </si>
  <si>
    <t>阿嬤老字号</t>
  </si>
  <si>
    <t>ShiLin</t>
  </si>
  <si>
    <t>Fruta Village</t>
  </si>
  <si>
    <t>Hokkien Mee</t>
  </si>
  <si>
    <t>Quick Cut</t>
  </si>
  <si>
    <t>Yin Yong</t>
  </si>
  <si>
    <t>Pizza Hut</t>
  </si>
  <si>
    <t>Bao Bao</t>
  </si>
  <si>
    <t>Ah Yip Herbal Soup</t>
  </si>
  <si>
    <t>Student ID</t>
  </si>
  <si>
    <t>WeChat Pay</t>
  </si>
  <si>
    <t>AliPay</t>
  </si>
  <si>
    <t>Bank Of China</t>
  </si>
  <si>
    <t>Maybank</t>
  </si>
  <si>
    <t>CIMB Bank</t>
  </si>
  <si>
    <t>Column1</t>
  </si>
  <si>
    <t>Date</t>
  </si>
  <si>
    <t>Description</t>
  </si>
  <si>
    <t>Status</t>
  </si>
  <si>
    <t>Transportation</t>
  </si>
  <si>
    <t>Transport Card</t>
  </si>
  <si>
    <t>SJTU</t>
  </si>
  <si>
    <t>Lunch</t>
  </si>
  <si>
    <t>Groceries</t>
  </si>
  <si>
    <t>Misc</t>
  </si>
  <si>
    <t>Brunch</t>
  </si>
  <si>
    <t>Near SJTU</t>
  </si>
  <si>
    <t>Korean Restaurant</t>
  </si>
  <si>
    <t>Dinner</t>
  </si>
  <si>
    <t>Breakfast</t>
  </si>
  <si>
    <t>Car Renting</t>
  </si>
  <si>
    <t>PuDong International Airport</t>
  </si>
  <si>
    <t>EVCard</t>
  </si>
  <si>
    <t>Meal</t>
  </si>
  <si>
    <t>Lawson</t>
  </si>
  <si>
    <t>QiaoJiaShan</t>
  </si>
  <si>
    <t>Beverage</t>
  </si>
  <si>
    <t>Family Mart</t>
  </si>
  <si>
    <t>XIaoTaoYuan</t>
  </si>
  <si>
    <t>Timo Café</t>
  </si>
  <si>
    <t>2000 Yuan Deposited @ EVCard</t>
  </si>
  <si>
    <t>Initial Amount</t>
  </si>
  <si>
    <t>School Card</t>
  </si>
  <si>
    <t>Water</t>
  </si>
  <si>
    <t>140+11</t>
  </si>
  <si>
    <t>JiaoCao</t>
  </si>
  <si>
    <t>Laundry</t>
  </si>
  <si>
    <t>Supper</t>
  </si>
  <si>
    <t>BBQ</t>
  </si>
  <si>
    <t>Printing</t>
  </si>
  <si>
    <t>?</t>
  </si>
  <si>
    <t>Poker</t>
  </si>
  <si>
    <t>TongXueDeFanJu</t>
  </si>
  <si>
    <t>Bread</t>
  </si>
  <si>
    <t>MaLaTang</t>
  </si>
  <si>
    <t>Stationery</t>
  </si>
  <si>
    <t>Exercise book</t>
  </si>
  <si>
    <t>Bill</t>
  </si>
  <si>
    <t>Electricity</t>
  </si>
  <si>
    <t>VPN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</si>
</sst>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rgb="FF000000"/>
      <name val="Calibri"/>
      <scheme val="minor"/>
    </font>
    <font>
      <sz val="11"/>
      <color theme="6" tint="-0.249977111117893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0" xfId="0" applyNumberFormat="1" applyFont="1"/>
    <xf numFmtId="0" fontId="0" fillId="0" borderId="0" xfId="0" applyBorder="1"/>
    <xf numFmtId="0" fontId="0" fillId="2" borderId="0" xfId="0" applyFill="1"/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0" fillId="5" borderId="0" xfId="0" applyFill="1"/>
    <xf numFmtId="0" fontId="0" fillId="0" borderId="0" xfId="0" applyFill="1"/>
    <xf numFmtId="0" fontId="3" fillId="0" borderId="0" xfId="0" applyFont="1" applyFill="1"/>
    <xf numFmtId="14" fontId="0" fillId="0" borderId="0" xfId="0" applyNumberFormat="1" applyFill="1"/>
    <xf numFmtId="14" fontId="0" fillId="0" borderId="0" xfId="0" applyNumberFormat="1" applyFill="1" applyBorder="1"/>
    <xf numFmtId="0" fontId="0" fillId="0" borderId="0" xfId="0" applyFill="1" applyBorder="1"/>
    <xf numFmtId="0" fontId="0" fillId="6" borderId="0" xfId="0" applyFill="1"/>
    <xf numFmtId="0" fontId="3" fillId="6" borderId="0" xfId="0" applyFont="1" applyFill="1"/>
    <xf numFmtId="14" fontId="0" fillId="6" borderId="0" xfId="0" applyNumberFormat="1" applyFill="1"/>
    <xf numFmtId="0" fontId="2" fillId="0" borderId="0" xfId="0" applyFont="1"/>
    <xf numFmtId="0" fontId="4" fillId="0" borderId="0" xfId="0" applyFont="1" applyFill="1"/>
    <xf numFmtId="0" fontId="4" fillId="6" borderId="0" xfId="0" applyFont="1" applyFill="1"/>
    <xf numFmtId="0" fontId="4" fillId="0" borderId="0" xfId="0" applyFont="1" applyFill="1" applyBorder="1"/>
    <xf numFmtId="0" fontId="5" fillId="0" borderId="0" xfId="0" applyFont="1"/>
    <xf numFmtId="0" fontId="6" fillId="3" borderId="1" xfId="0" applyFont="1" applyFill="1" applyBorder="1"/>
    <xf numFmtId="0" fontId="2" fillId="0" borderId="0" xfId="0" applyFont="1" applyFill="1"/>
    <xf numFmtId="0" fontId="3" fillId="0" borderId="0" xfId="0" applyNumberFormat="1" applyFont="1" applyFill="1"/>
    <xf numFmtId="0" fontId="0" fillId="0" borderId="0" xfId="0" applyNumberFormat="1" applyFill="1"/>
    <xf numFmtId="0" fontId="0" fillId="0" borderId="0" xfId="0" applyNumberFormat="1" applyFill="1" applyBorder="1"/>
    <xf numFmtId="14" fontId="7" fillId="0" borderId="0" xfId="0" applyNumberFormat="1" applyFont="1" applyFill="1"/>
    <xf numFmtId="14" fontId="0" fillId="0" borderId="0" xfId="0" applyNumberFormat="1" applyFont="1" applyFill="1"/>
    <xf numFmtId="14" fontId="0" fillId="0" borderId="0" xfId="0" applyNumberFormat="1" applyFont="1" applyFill="1" applyBorder="1"/>
    <xf numFmtId="0" fontId="3" fillId="0" borderId="0" xfId="0" applyFont="1" applyFill="1" applyBorder="1"/>
    <xf numFmtId="0" fontId="0" fillId="0" borderId="0" xfId="0" applyFill="1" applyAlignment="1">
      <alignment horizontal="center"/>
    </xf>
    <xf numFmtId="0" fontId="3" fillId="0" borderId="0" xfId="0" applyNumberFormat="1" applyFont="1" applyFill="1" applyBorder="1"/>
    <xf numFmtId="0" fontId="0" fillId="7" borderId="0" xfId="0" applyFill="1"/>
    <xf numFmtId="0" fontId="2" fillId="6" borderId="0" xfId="0" applyFont="1" applyFill="1"/>
    <xf numFmtId="0" fontId="0" fillId="8" borderId="0" xfId="0" applyFill="1"/>
    <xf numFmtId="0" fontId="1" fillId="0" borderId="0" xfId="0" applyFont="1" applyFill="1"/>
    <xf numFmtId="0" fontId="0" fillId="9" borderId="0" xfId="0" applyFill="1"/>
    <xf numFmtId="0" fontId="0" fillId="9" borderId="0" xfId="0" applyFill="1" applyBorder="1"/>
    <xf numFmtId="14" fontId="8" fillId="0" borderId="0" xfId="0" applyNumberFormat="1" applyFont="1" applyFill="1" applyBorder="1"/>
    <xf numFmtId="0" fontId="9" fillId="0" borderId="0" xfId="0" applyNumberFormat="1" applyFont="1" applyFill="1" applyBorder="1"/>
    <xf numFmtId="0" fontId="10" fillId="0" borderId="0" xfId="0" applyFont="1" applyFill="1" applyBorder="1"/>
    <xf numFmtId="0" fontId="9" fillId="0" borderId="0" xfId="0" applyFont="1" applyFill="1" applyBorder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</dxf>
  </dxfs>
  <tableStyles count="0" defaultTableStyle="TableStyleMedium9" defaultPivotStyle="PivotStyleLight16"/>
  <colors>
    <mruColors>
      <color rgb="FFCCE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OT" displayName="OT" ref="B7:L31" totalsRowCount="1" headerRowDxfId="31" dataDxfId="30">
  <autoFilter ref="B7:L30">
    <filterColumn colId="4"/>
    <filterColumn colId="6">
      <filters blank="1">
        <filter val="BBQ"/>
        <filter val="Bread"/>
        <filter val="Electricity"/>
        <filter val="EVCard"/>
        <filter val="Exercise book"/>
        <filter val="Family Mart"/>
        <filter val="JiaoCao"/>
        <filter val="Korean Restaurant"/>
        <filter val="Lawson"/>
        <filter val="MaLaTang"/>
        <filter val="QiaoJiaShan"/>
        <filter val="School Card"/>
        <filter val="Timo Café"/>
        <filter val="TongXueDeFanJu"/>
        <filter val="VPN"/>
        <filter val="Water"/>
        <filter val="XIaoTaoYuan"/>
      </filters>
    </filterColumn>
    <filterColumn colId="7"/>
    <filterColumn colId="10"/>
  </autoFilter>
  <sortState ref="B8:L162">
    <sortCondition ref="C7:C162"/>
  </sortState>
  <tableColumns count="11">
    <tableColumn id="1" name="#" dataDxfId="29" totalsRowDxfId="28"/>
    <tableColumn id="2" name="Date " dataDxfId="27" totalsRowDxfId="26"/>
    <tableColumn id="3" name="Day" dataDxfId="25" totalsRowDxfId="24">
      <calculatedColumnFormula>IF((WEEKDAY(C8,2)=1),"Monday",IF((WEEKDAY(C8,2)=2),"Tuesday",IF((WEEKDAY(C8,2)=3),"Wednesday",IF((WEEKDAY(C8,2)=4),"Thursday",IF((WEEKDAY(C8,2)=5),"Friday",IF((WEEKDAY(C8,2)=6),"Saturday",IF((WEEKDAY(C8,2)=7),"Sunday","-")))))))</calculatedColumnFormula>
    </tableColumn>
    <tableColumn id="4" name="Category " dataDxfId="23" totalsRowDxfId="22"/>
    <tableColumn id="10" name="Sub Category" dataDxfId="21" totalsRowDxfId="20"/>
    <tableColumn id="5" name="Location" dataDxfId="19" totalsRowDxfId="18"/>
    <tableColumn id="6" name="Description " dataDxfId="17" totalsRowDxfId="16"/>
    <tableColumn id="219" name="Amount" totalsRowFunction="sum" dataDxfId="15" totalsRowDxfId="14"/>
    <tableColumn id="7" name="Paid" dataDxfId="13" totalsRowDxfId="12"/>
    <tableColumn id="8" name="Status " totalsRowDxfId="11"/>
    <tableColumn id="11" name="Remark" dataDxfId="10" totalsRowDxfId="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2" name="IT" displayName="IT" ref="B7:J13" totalsRowCount="1" headerRowDxfId="8">
  <autoFilter ref="B7:J12"/>
  <sortState ref="B8:J25">
    <sortCondition ref="C7:C25"/>
  </sortState>
  <tableColumns count="9">
    <tableColumn id="1" name="Column1"/>
    <tableColumn id="2" name="Date" dataDxfId="7"/>
    <tableColumn id="3" name="Day" dataDxfId="6">
      <calculatedColumnFormula>IF((WEEKDAY(C8,2)=1),"Monday",IF((WEEKDAY(C8,2)=2),"Tuesday",IF((WEEKDAY(C8,2)=3),"Wednesday",IF((WEEKDAY(C8,2)=4),"Thursday",IF((WEEKDAY(C8,2)=5),"Friday",IF((WEEKDAY(C8,2)=6),"Saturday",IF((WEEKDAY(C8,2)=7),"Sunday","-")))))))</calculatedColumnFormula>
    </tableColumn>
    <tableColumn id="4" name="Donor" dataDxfId="5"/>
    <tableColumn id="5" name="Location" dataDxfId="4"/>
    <tableColumn id="6" name="Description" dataDxfId="3"/>
    <tableColumn id="7" name="Amount" totalsRowFunction="sum" dataDxfId="2"/>
    <tableColumn id="8" name="Status" dataDxfId="1"/>
    <tableColumn id="9" name="Remark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M157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39" sqref="D39"/>
    </sheetView>
  </sheetViews>
  <sheetFormatPr defaultRowHeight="15"/>
  <cols>
    <col min="2" max="2" width="10.7109375" bestFit="1" customWidth="1"/>
    <col min="3" max="3" width="11" bestFit="1" customWidth="1"/>
    <col min="4" max="4" width="11.85546875" bestFit="1" customWidth="1"/>
    <col min="5" max="5" width="15" bestFit="1" customWidth="1"/>
    <col min="6" max="6" width="15" style="2" bestFit="1" customWidth="1"/>
    <col min="7" max="7" width="28.140625" bestFit="1" customWidth="1"/>
    <col min="8" max="8" width="18.42578125" bestFit="1" customWidth="1"/>
    <col min="9" max="9" width="10.42578125" style="2" bestFit="1" customWidth="1"/>
    <col min="10" max="10" width="7.42578125" bestFit="1" customWidth="1"/>
    <col min="11" max="11" width="14.140625" bestFit="1" customWidth="1"/>
    <col min="12" max="12" width="10.42578125" bestFit="1" customWidth="1"/>
    <col min="13" max="13" width="12.28515625" style="3" customWidth="1"/>
    <col min="14" max="14" width="8.85546875" customWidth="1"/>
    <col min="17" max="17" width="8.7109375" customWidth="1"/>
    <col min="18" max="18" width="11.28515625" bestFit="1" customWidth="1"/>
    <col min="21" max="21" width="18.7109375" bestFit="1" customWidth="1"/>
    <col min="22" max="22" width="15.7109375" bestFit="1" customWidth="1"/>
    <col min="23" max="23" width="13.140625" bestFit="1" customWidth="1"/>
    <col min="24" max="24" width="11.28515625" bestFit="1" customWidth="1"/>
  </cols>
  <sheetData>
    <row r="1" spans="1:221">
      <c r="A1" s="1">
        <v>22</v>
      </c>
      <c r="B1" s="1">
        <v>22</v>
      </c>
      <c r="C1" s="1">
        <v>350</v>
      </c>
      <c r="D1" s="1">
        <v>4809</v>
      </c>
      <c r="K1" s="5">
        <f ca="1">TODAY()</f>
        <v>43887</v>
      </c>
      <c r="N1" s="2" t="s">
        <v>73</v>
      </c>
      <c r="P1" s="2"/>
      <c r="Q1" s="21"/>
      <c r="R1" s="21"/>
      <c r="S1" s="21">
        <v>6</v>
      </c>
      <c r="T1" s="21" t="s">
        <v>52</v>
      </c>
      <c r="U1" s="21" t="s">
        <v>64</v>
      </c>
      <c r="V1" s="21" t="s">
        <v>65</v>
      </c>
      <c r="W1" s="21" t="s">
        <v>12</v>
      </c>
      <c r="X1" s="21" t="s">
        <v>63</v>
      </c>
    </row>
    <row r="2" spans="1:221">
      <c r="A2" s="1">
        <v>30</v>
      </c>
      <c r="B2" s="1">
        <v>30</v>
      </c>
      <c r="D2" s="1" t="str">
        <f>IF((WEEKDAY(C2,2)=1),"Monday",IF((WEEKDAY(C2,2)=2),"Tuesday",IF((WEEKDAY(C2,2)=3),"Wednesday",IF((WEEKDAY(C2,2)=4),"Thursday",IF((WEEKDAY(C2,2)=5),"Friday",IF((WEEKDAY(C2,2)=6),"Saturday",IF((WEEKDAY(C2,2)=7),"Sunday","-")))))))</f>
        <v>Saturday</v>
      </c>
      <c r="P2" s="21"/>
      <c r="Q2" s="21"/>
      <c r="R2" s="21"/>
      <c r="S2" s="21">
        <v>4</v>
      </c>
      <c r="T2" s="21" t="s">
        <v>66</v>
      </c>
      <c r="U2" s="21" t="s">
        <v>54</v>
      </c>
      <c r="V2" s="21" t="s">
        <v>67</v>
      </c>
      <c r="W2" s="21" t="s">
        <v>42</v>
      </c>
      <c r="X2" s="21" t="s">
        <v>55</v>
      </c>
    </row>
    <row r="3" spans="1:221">
      <c r="A3" s="1"/>
      <c r="B3" s="2" t="s">
        <v>17</v>
      </c>
      <c r="C3" s="47" t="s">
        <v>0</v>
      </c>
      <c r="D3" s="47"/>
      <c r="E3" s="10" t="s">
        <v>1</v>
      </c>
      <c r="F3" s="10" t="s">
        <v>19</v>
      </c>
      <c r="G3" s="10" t="s">
        <v>2</v>
      </c>
      <c r="H3" s="10" t="s">
        <v>3</v>
      </c>
      <c r="I3" s="10" t="s">
        <v>4</v>
      </c>
      <c r="J3" s="10" t="s">
        <v>18</v>
      </c>
      <c r="K3" s="10" t="s">
        <v>5</v>
      </c>
      <c r="L3" s="10" t="s">
        <v>6</v>
      </c>
      <c r="M3" s="11" t="s">
        <v>7</v>
      </c>
      <c r="P3" s="21"/>
      <c r="Q3" s="21"/>
      <c r="R3" s="21"/>
      <c r="S3" s="21">
        <v>19</v>
      </c>
      <c r="T3" s="21" t="s">
        <v>56</v>
      </c>
      <c r="U3" s="21" t="s">
        <v>59</v>
      </c>
      <c r="V3" s="21" t="s">
        <v>68</v>
      </c>
      <c r="W3" s="21" t="s">
        <v>43</v>
      </c>
      <c r="X3" s="21" t="s">
        <v>58</v>
      </c>
    </row>
    <row r="4" spans="1:221">
      <c r="A4" s="1">
        <v>6</v>
      </c>
      <c r="B4" s="1"/>
      <c r="C4" s="20"/>
      <c r="D4" s="19" t="str">
        <f>IF((WEEKDAY(C4,2)=1),"Monday",IF((WEEKDAY(C4,2)=2),"Tuesday",IF((WEEKDAY(C4,2)=3),"Wednesday",IF((WEEKDAY(C4,2)=4),"Thursday",IF((WEEKDAY(C4,2)=5),"Friday",IF((WEEKDAY(C4,2)=6),"Saturday",IF((WEEKDAY(C4,2)=7),"Sunday","-")))))))</f>
        <v>Saturday</v>
      </c>
      <c r="E4" s="18"/>
      <c r="F4" s="38"/>
      <c r="G4" s="38"/>
      <c r="H4" s="38"/>
      <c r="I4" s="18"/>
      <c r="J4" s="18"/>
      <c r="K4" s="18"/>
      <c r="L4" s="18"/>
      <c r="M4" s="18"/>
      <c r="N4" s="22"/>
      <c r="O4" s="22"/>
      <c r="P4" s="22"/>
      <c r="Q4" s="21"/>
      <c r="R4" s="21"/>
      <c r="S4" s="21">
        <v>12</v>
      </c>
      <c r="T4" s="21" t="s">
        <v>57</v>
      </c>
      <c r="U4" s="21"/>
      <c r="V4" s="21" t="s">
        <v>60</v>
      </c>
      <c r="W4" s="21" t="s">
        <v>44</v>
      </c>
      <c r="X4" s="21" t="s">
        <v>61</v>
      </c>
    </row>
    <row r="5" spans="1:221">
      <c r="A5" s="1">
        <v>4</v>
      </c>
      <c r="P5" s="21"/>
      <c r="Q5" s="21"/>
      <c r="R5" s="21"/>
      <c r="S5" s="21"/>
      <c r="T5" s="2" t="s">
        <v>69</v>
      </c>
      <c r="U5" s="21"/>
      <c r="V5" s="21" t="s">
        <v>70</v>
      </c>
      <c r="W5" s="21" t="s">
        <v>45</v>
      </c>
      <c r="X5" s="21" t="s">
        <v>62</v>
      </c>
    </row>
    <row r="6" spans="1:221">
      <c r="A6" s="1">
        <v>19</v>
      </c>
      <c r="B6" s="2"/>
      <c r="C6" s="48"/>
      <c r="D6" s="48"/>
      <c r="E6" s="2"/>
      <c r="G6" s="2"/>
      <c r="H6" s="2"/>
      <c r="J6" s="2"/>
      <c r="K6" s="2"/>
      <c r="L6" s="12"/>
      <c r="M6" s="4"/>
      <c r="P6" s="21"/>
      <c r="Q6" s="21"/>
      <c r="R6" s="21"/>
      <c r="S6" s="21"/>
      <c r="U6" s="21"/>
      <c r="V6" s="21" t="s">
        <v>71</v>
      </c>
      <c r="W6" s="21" t="s">
        <v>46</v>
      </c>
      <c r="X6" s="21" t="s">
        <v>56</v>
      </c>
    </row>
    <row r="7" spans="1:221">
      <c r="A7" s="1"/>
      <c r="B7" s="8" t="s">
        <v>8</v>
      </c>
      <c r="C7" s="9" t="s">
        <v>0</v>
      </c>
      <c r="D7" s="9" t="s">
        <v>16</v>
      </c>
      <c r="E7" s="8" t="s">
        <v>1</v>
      </c>
      <c r="F7" s="8" t="s">
        <v>19</v>
      </c>
      <c r="G7" s="8" t="s">
        <v>2</v>
      </c>
      <c r="H7" s="8" t="s">
        <v>3</v>
      </c>
      <c r="I7" s="8" t="s">
        <v>4</v>
      </c>
      <c r="J7" s="8" t="s">
        <v>18</v>
      </c>
      <c r="K7" s="8" t="s">
        <v>5</v>
      </c>
      <c r="L7" s="8" t="s">
        <v>6</v>
      </c>
      <c r="M7" s="9" t="s">
        <v>9</v>
      </c>
      <c r="N7" s="2"/>
      <c r="O7" s="2"/>
      <c r="P7" s="21"/>
      <c r="Q7" s="21"/>
      <c r="R7" s="21"/>
      <c r="S7" s="21"/>
      <c r="U7" s="21"/>
      <c r="V7" s="21" t="s">
        <v>72</v>
      </c>
      <c r="W7" s="21" t="s">
        <v>47</v>
      </c>
      <c r="X7" s="21" t="s">
        <v>79</v>
      </c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</row>
    <row r="8" spans="1:221">
      <c r="A8" s="1"/>
      <c r="B8" s="17">
        <v>1</v>
      </c>
      <c r="C8" s="32">
        <v>43515</v>
      </c>
      <c r="D8" s="28" t="str">
        <f t="shared" ref="D8" si="0">IF((WEEKDAY(C8,2)=1),"Monday",IF((WEEKDAY(C8,2)=2),"Tuesday",IF((WEEKDAY(C8,2)=3),"Wednesday",IF((WEEKDAY(C8,2)=4),"Thursday",IF((WEEKDAY(C8,2)=5),"Friday",IF((WEEKDAY(C8,2)=6),"Saturday",IF((WEEKDAY(C8,2)=7),"Sunday","-")))))))</f>
        <v>Tuesday</v>
      </c>
      <c r="E8" s="13" t="s">
        <v>52</v>
      </c>
      <c r="F8" s="27" t="s">
        <v>63</v>
      </c>
      <c r="G8" s="27" t="s">
        <v>64</v>
      </c>
      <c r="H8" s="27" t="s">
        <v>65</v>
      </c>
      <c r="I8" s="13">
        <v>116.7</v>
      </c>
      <c r="J8" s="13"/>
      <c r="K8" s="39" t="s">
        <v>44</v>
      </c>
      <c r="L8" s="13"/>
      <c r="M8" s="35"/>
      <c r="P8" s="21"/>
      <c r="Q8" s="21"/>
      <c r="R8" s="21"/>
      <c r="S8" s="21"/>
      <c r="T8" s="21"/>
      <c r="U8" s="21"/>
      <c r="V8" s="21" t="s">
        <v>75</v>
      </c>
      <c r="W8" s="21" t="s">
        <v>53</v>
      </c>
      <c r="X8" s="21" t="s">
        <v>80</v>
      </c>
    </row>
    <row r="9" spans="1:221">
      <c r="A9" s="21"/>
      <c r="B9" s="17">
        <v>2</v>
      </c>
      <c r="C9" s="32">
        <v>43515</v>
      </c>
      <c r="D9" s="14" t="str">
        <f t="shared" ref="D9:D14" si="1">IF((WEEKDAY(C9,2)=1),"Monday",IF((WEEKDAY(C9,2)=2),"Tuesday",IF((WEEKDAY(C9,2)=3),"Wednesday",IF((WEEKDAY(C9,2)=4),"Thursday",IF((WEEKDAY(C9,2)=5),"Friday",IF((WEEKDAY(C9,2)=6),"Saturday",IF((WEEKDAY(C9,2)=7),"Sunday","-")))))))</f>
        <v>Tuesday</v>
      </c>
      <c r="E9" s="13" t="s">
        <v>66</v>
      </c>
      <c r="F9" s="27" t="s">
        <v>61</v>
      </c>
      <c r="G9" s="27" t="s">
        <v>54</v>
      </c>
      <c r="H9" s="27" t="s">
        <v>67</v>
      </c>
      <c r="I9" s="13">
        <v>22.7</v>
      </c>
      <c r="J9" s="13"/>
      <c r="K9" s="39" t="s">
        <v>44</v>
      </c>
      <c r="L9" s="13"/>
      <c r="M9" s="13"/>
      <c r="P9" s="21"/>
      <c r="Q9" s="21"/>
      <c r="R9" s="21"/>
      <c r="S9" s="21"/>
      <c r="T9" s="21"/>
      <c r="U9" s="21"/>
      <c r="V9" s="21" t="s">
        <v>76</v>
      </c>
      <c r="W9" s="21"/>
      <c r="X9" s="21" t="s">
        <v>82</v>
      </c>
    </row>
    <row r="10" spans="1:221">
      <c r="A10" s="21"/>
      <c r="B10" s="17">
        <v>3</v>
      </c>
      <c r="C10" s="32">
        <v>43516</v>
      </c>
      <c r="D10" s="14" t="str">
        <f t="shared" si="1"/>
        <v>Wednesday</v>
      </c>
      <c r="E10" s="13" t="s">
        <v>66</v>
      </c>
      <c r="F10" s="27" t="s">
        <v>58</v>
      </c>
      <c r="G10" s="27" t="s">
        <v>59</v>
      </c>
      <c r="H10" s="27" t="s">
        <v>68</v>
      </c>
      <c r="I10" s="13">
        <v>22</v>
      </c>
      <c r="J10" s="13"/>
      <c r="K10" s="39" t="s">
        <v>44</v>
      </c>
      <c r="L10" s="13"/>
      <c r="M10" s="35"/>
      <c r="P10" s="21"/>
      <c r="Q10" s="21"/>
      <c r="R10" s="21"/>
      <c r="S10" s="21"/>
      <c r="T10" s="21"/>
      <c r="U10" s="21"/>
      <c r="V10" s="21" t="s">
        <v>78</v>
      </c>
      <c r="W10" s="21"/>
      <c r="X10" s="21" t="s">
        <v>88</v>
      </c>
    </row>
    <row r="11" spans="1:221">
      <c r="A11" s="21"/>
      <c r="B11" s="17">
        <v>4</v>
      </c>
      <c r="C11" s="32">
        <v>43516</v>
      </c>
      <c r="D11" s="14" t="str">
        <f t="shared" si="1"/>
        <v>Wednesday</v>
      </c>
      <c r="E11" s="13" t="s">
        <v>66</v>
      </c>
      <c r="F11" s="27" t="s">
        <v>61</v>
      </c>
      <c r="G11" s="27" t="s">
        <v>59</v>
      </c>
      <c r="H11" s="27" t="s">
        <v>60</v>
      </c>
      <c r="I11" s="13">
        <v>25</v>
      </c>
      <c r="J11" s="13"/>
      <c r="K11" s="41" t="s">
        <v>43</v>
      </c>
      <c r="L11" s="13"/>
      <c r="M11" s="35"/>
      <c r="P11" s="21"/>
      <c r="Q11" s="21"/>
      <c r="R11" s="21"/>
      <c r="S11" s="21"/>
      <c r="T11" s="21"/>
      <c r="U11" s="21"/>
      <c r="V11" s="21" t="s">
        <v>81</v>
      </c>
      <c r="W11" s="21"/>
      <c r="X11" s="21" t="s">
        <v>90</v>
      </c>
    </row>
    <row r="12" spans="1:221">
      <c r="A12" s="21"/>
      <c r="B12" s="17">
        <v>5</v>
      </c>
      <c r="C12" s="15">
        <v>43516</v>
      </c>
      <c r="D12" s="14" t="str">
        <f t="shared" si="1"/>
        <v>Wednesday</v>
      </c>
      <c r="E12" s="13" t="s">
        <v>69</v>
      </c>
      <c r="F12" s="27"/>
      <c r="G12" s="27" t="s">
        <v>59</v>
      </c>
      <c r="H12" s="27" t="s">
        <v>70</v>
      </c>
      <c r="I12" s="13">
        <v>4.0999999999999996</v>
      </c>
      <c r="J12" s="13"/>
      <c r="K12" s="39" t="s">
        <v>44</v>
      </c>
      <c r="L12" s="13"/>
      <c r="M12" s="35"/>
      <c r="P12" s="21"/>
      <c r="Q12" s="21"/>
      <c r="R12" s="21"/>
      <c r="S12" s="21"/>
      <c r="T12" s="21"/>
      <c r="U12" s="21"/>
      <c r="V12" s="21" t="s">
        <v>85</v>
      </c>
      <c r="W12" s="21"/>
      <c r="X12" s="21"/>
    </row>
    <row r="13" spans="1:221">
      <c r="A13" s="21"/>
      <c r="B13" s="17">
        <v>6</v>
      </c>
      <c r="C13" s="15">
        <v>43517</v>
      </c>
      <c r="D13" s="14" t="str">
        <f t="shared" si="1"/>
        <v>Thursday</v>
      </c>
      <c r="E13" s="13" t="s">
        <v>66</v>
      </c>
      <c r="F13" s="27" t="s">
        <v>58</v>
      </c>
      <c r="G13" s="27" t="s">
        <v>59</v>
      </c>
      <c r="H13" s="27" t="s">
        <v>71</v>
      </c>
      <c r="I13" s="13">
        <v>13</v>
      </c>
      <c r="J13" s="13"/>
      <c r="K13" s="41" t="s">
        <v>43</v>
      </c>
      <c r="L13" s="13"/>
      <c r="M13" s="35"/>
      <c r="P13" s="21"/>
      <c r="Q13" s="21"/>
      <c r="R13" s="21"/>
      <c r="S13" s="21"/>
      <c r="T13" s="21"/>
      <c r="U13" s="21"/>
      <c r="V13" s="21" t="s">
        <v>86</v>
      </c>
      <c r="W13" s="21"/>
      <c r="X13" s="21"/>
    </row>
    <row r="14" spans="1:221">
      <c r="B14" s="17">
        <v>7</v>
      </c>
      <c r="C14" s="15">
        <v>43517</v>
      </c>
      <c r="D14" s="14" t="str">
        <f t="shared" si="1"/>
        <v>Thursday</v>
      </c>
      <c r="E14" s="13" t="s">
        <v>69</v>
      </c>
      <c r="F14" s="27"/>
      <c r="G14" s="27" t="s">
        <v>54</v>
      </c>
      <c r="H14" s="27" t="s">
        <v>72</v>
      </c>
      <c r="I14" s="13">
        <v>15</v>
      </c>
      <c r="J14" s="13"/>
      <c r="K14" s="39" t="s">
        <v>44</v>
      </c>
      <c r="L14" s="13"/>
      <c r="M14" s="35"/>
      <c r="N14" s="2"/>
      <c r="P14" s="21"/>
      <c r="Q14" s="21"/>
      <c r="R14" s="21"/>
      <c r="S14" s="21"/>
      <c r="T14" s="21"/>
      <c r="U14" s="21"/>
      <c r="V14" s="21" t="s">
        <v>87</v>
      </c>
      <c r="W14" s="21"/>
      <c r="X14" s="21"/>
    </row>
    <row r="15" spans="1:221">
      <c r="B15" s="17">
        <v>8</v>
      </c>
      <c r="C15" s="15">
        <v>43517</v>
      </c>
      <c r="D15" s="14" t="str">
        <f t="shared" ref="D15:D30" si="2">IF((WEEKDAY(C15,2)=1),"Monday",IF((WEEKDAY(C15,2)=2),"Tuesday",IF((WEEKDAY(C15,2)=3),"Wednesday",IF((WEEKDAY(C15,2)=4),"Thursday",IF((WEEKDAY(C15,2)=5),"Friday",IF((WEEKDAY(C15,2)=6),"Saturday",IF((WEEKDAY(C15,2)=7),"Sunday","-")))))))</f>
        <v>Thursday</v>
      </c>
      <c r="E15" s="13"/>
      <c r="F15" s="27"/>
      <c r="G15" s="27"/>
      <c r="H15" s="27" t="s">
        <v>75</v>
      </c>
      <c r="I15" s="13">
        <v>100</v>
      </c>
      <c r="J15" s="13"/>
      <c r="K15" s="39" t="s">
        <v>44</v>
      </c>
      <c r="L15" s="13"/>
      <c r="M15" s="35"/>
      <c r="P15" s="21"/>
      <c r="Q15" s="21"/>
      <c r="R15" s="21"/>
      <c r="S15" s="21"/>
      <c r="T15" s="21"/>
      <c r="U15" s="21"/>
      <c r="V15" s="21" t="s">
        <v>89</v>
      </c>
      <c r="W15" s="21"/>
      <c r="X15" s="21"/>
    </row>
    <row r="16" spans="1:221">
      <c r="B16" s="17">
        <v>9</v>
      </c>
      <c r="C16" s="15">
        <v>43518</v>
      </c>
      <c r="D16" s="14" t="str">
        <f t="shared" si="2"/>
        <v>Friday</v>
      </c>
      <c r="E16" s="13" t="s">
        <v>57</v>
      </c>
      <c r="F16" s="27" t="s">
        <v>56</v>
      </c>
      <c r="G16" s="27"/>
      <c r="H16" s="27" t="s">
        <v>76</v>
      </c>
      <c r="I16" s="13">
        <v>151</v>
      </c>
      <c r="J16" s="13"/>
      <c r="K16" s="39" t="s">
        <v>44</v>
      </c>
      <c r="L16" s="13" t="s">
        <v>77</v>
      </c>
      <c r="M16" s="35"/>
      <c r="N16" s="2"/>
      <c r="P16" s="21"/>
      <c r="Q16" s="21"/>
      <c r="R16" s="21"/>
      <c r="S16" s="21"/>
      <c r="T16" s="21"/>
      <c r="U16" s="21"/>
      <c r="V16" s="21" t="s">
        <v>91</v>
      </c>
      <c r="W16" s="21"/>
      <c r="X16" s="21"/>
    </row>
    <row r="17" spans="2:24">
      <c r="B17" s="17">
        <v>10</v>
      </c>
      <c r="C17" s="15">
        <v>43518</v>
      </c>
      <c r="D17" s="14" t="str">
        <f t="shared" si="2"/>
        <v>Friday</v>
      </c>
      <c r="E17" s="13" t="s">
        <v>57</v>
      </c>
      <c r="F17" s="27" t="s">
        <v>56</v>
      </c>
      <c r="G17" s="27" t="s">
        <v>54</v>
      </c>
      <c r="H17" s="27" t="s">
        <v>78</v>
      </c>
      <c r="I17" s="13">
        <v>29.8</v>
      </c>
      <c r="J17" s="13"/>
      <c r="K17" s="39" t="s">
        <v>44</v>
      </c>
      <c r="L17" s="13"/>
      <c r="M17" s="35"/>
      <c r="N17" s="2"/>
      <c r="P17" s="21"/>
      <c r="Q17" s="21"/>
      <c r="R17" s="21"/>
      <c r="S17" s="21"/>
      <c r="T17" s="21"/>
      <c r="U17" s="21"/>
      <c r="V17" s="21" t="s">
        <v>92</v>
      </c>
      <c r="W17" s="21"/>
      <c r="X17" s="21"/>
    </row>
    <row r="18" spans="2:24">
      <c r="B18" s="17">
        <v>11</v>
      </c>
      <c r="C18" s="15">
        <v>43518</v>
      </c>
      <c r="D18" s="14" t="str">
        <f t="shared" si="2"/>
        <v>Friday</v>
      </c>
      <c r="E18" s="13" t="s">
        <v>57</v>
      </c>
      <c r="F18" s="27" t="s">
        <v>79</v>
      </c>
      <c r="G18" s="27" t="s">
        <v>54</v>
      </c>
      <c r="H18" s="27"/>
      <c r="I18" s="13">
        <v>4</v>
      </c>
      <c r="J18" s="13"/>
      <c r="K18" s="39" t="s">
        <v>44</v>
      </c>
      <c r="L18" s="13"/>
      <c r="M18" s="35"/>
      <c r="P18" s="21"/>
      <c r="Q18" s="21"/>
      <c r="R18" s="21"/>
      <c r="S18" s="21"/>
      <c r="T18" s="21"/>
      <c r="U18" s="21"/>
      <c r="V18" s="21" t="s">
        <v>44</v>
      </c>
      <c r="W18" s="21"/>
      <c r="X18" s="21"/>
    </row>
    <row r="19" spans="2:24">
      <c r="B19" s="17">
        <v>12</v>
      </c>
      <c r="C19" s="15">
        <v>43518</v>
      </c>
      <c r="D19" s="14" t="str">
        <f t="shared" si="2"/>
        <v>Friday</v>
      </c>
      <c r="E19" s="13" t="s">
        <v>66</v>
      </c>
      <c r="F19" s="27" t="s">
        <v>80</v>
      </c>
      <c r="G19" s="27" t="s">
        <v>59</v>
      </c>
      <c r="H19" s="27" t="s">
        <v>81</v>
      </c>
      <c r="I19" s="13">
        <v>42</v>
      </c>
      <c r="J19" s="13"/>
      <c r="K19" s="39" t="s">
        <v>44</v>
      </c>
      <c r="L19" s="13"/>
      <c r="M19" s="35"/>
      <c r="P19" s="21"/>
      <c r="Q19" s="21"/>
      <c r="R19" s="21"/>
      <c r="S19" s="21"/>
      <c r="T19" s="21"/>
      <c r="U19" s="21"/>
      <c r="V19" s="21"/>
      <c r="W19" s="21"/>
      <c r="X19" s="21"/>
    </row>
    <row r="20" spans="2:24">
      <c r="B20" s="17">
        <v>13</v>
      </c>
      <c r="C20" s="15">
        <v>43519</v>
      </c>
      <c r="D20" s="14" t="str">
        <f t="shared" si="2"/>
        <v>Saturday</v>
      </c>
      <c r="E20" s="13" t="s">
        <v>69</v>
      </c>
      <c r="F20" s="27"/>
      <c r="G20" s="27" t="s">
        <v>59</v>
      </c>
      <c r="H20" s="27" t="s">
        <v>70</v>
      </c>
      <c r="I20" s="13">
        <v>4.2</v>
      </c>
      <c r="J20" s="13"/>
      <c r="K20" s="39" t="s">
        <v>44</v>
      </c>
      <c r="L20" s="13"/>
      <c r="M20" s="35"/>
      <c r="P20" s="21"/>
      <c r="Q20" s="21"/>
      <c r="R20" s="21"/>
      <c r="S20" s="21"/>
      <c r="T20" s="21"/>
      <c r="U20" s="21"/>
      <c r="V20" s="21"/>
      <c r="W20" s="21"/>
      <c r="X20" s="21"/>
    </row>
    <row r="21" spans="2:24">
      <c r="B21" s="17">
        <v>14</v>
      </c>
      <c r="C21" s="15">
        <v>43518</v>
      </c>
      <c r="D21" s="14" t="str">
        <f t="shared" si="2"/>
        <v>Friday</v>
      </c>
      <c r="E21" s="13" t="s">
        <v>57</v>
      </c>
      <c r="F21" s="27" t="s">
        <v>82</v>
      </c>
      <c r="G21" s="27" t="s">
        <v>54</v>
      </c>
      <c r="H21" s="27"/>
      <c r="I21" s="13">
        <v>2.4</v>
      </c>
      <c r="J21" s="13"/>
      <c r="K21" s="41" t="s">
        <v>43</v>
      </c>
      <c r="L21" s="13"/>
      <c r="M21" s="35"/>
      <c r="P21" s="21"/>
      <c r="Q21" s="21"/>
      <c r="R21" s="21"/>
      <c r="S21" s="21"/>
      <c r="T21" s="21"/>
      <c r="U21" s="21"/>
      <c r="V21" s="21"/>
      <c r="W21" s="21"/>
      <c r="X21" s="21"/>
    </row>
    <row r="22" spans="2:24">
      <c r="B22" s="17">
        <v>15</v>
      </c>
      <c r="C22" s="15">
        <v>43518</v>
      </c>
      <c r="D22" s="14" t="str">
        <f t="shared" si="2"/>
        <v>Friday</v>
      </c>
      <c r="E22" s="13"/>
      <c r="F22" s="27"/>
      <c r="G22" s="27"/>
      <c r="H22" s="27"/>
      <c r="I22" s="13">
        <v>5</v>
      </c>
      <c r="J22" s="13"/>
      <c r="K22" s="41" t="s">
        <v>43</v>
      </c>
      <c r="L22" s="13" t="s">
        <v>83</v>
      </c>
      <c r="M22" s="35"/>
      <c r="S22" s="1"/>
      <c r="T22" s="1"/>
      <c r="U22" s="1"/>
      <c r="V22" s="1"/>
      <c r="W22" s="1"/>
      <c r="X22" s="1"/>
    </row>
    <row r="23" spans="2:24">
      <c r="B23" s="17">
        <v>16</v>
      </c>
      <c r="C23" s="15">
        <v>43519</v>
      </c>
      <c r="D23" s="14" t="str">
        <f t="shared" si="2"/>
        <v>Saturday</v>
      </c>
      <c r="E23" s="13" t="s">
        <v>66</v>
      </c>
      <c r="F23" s="27" t="s">
        <v>61</v>
      </c>
      <c r="G23" s="27" t="s">
        <v>59</v>
      </c>
      <c r="H23" s="27" t="s">
        <v>85</v>
      </c>
      <c r="I23" s="13">
        <v>35</v>
      </c>
      <c r="J23" s="13"/>
      <c r="K23" s="41" t="s">
        <v>43</v>
      </c>
      <c r="L23" s="13"/>
      <c r="M23" s="35"/>
      <c r="S23" s="1"/>
      <c r="T23" s="1"/>
      <c r="U23" s="1"/>
      <c r="V23" s="1" t="s">
        <v>21</v>
      </c>
      <c r="W23" s="1"/>
      <c r="X23" s="1"/>
    </row>
    <row r="24" spans="2:24">
      <c r="B24" s="17">
        <v>17</v>
      </c>
      <c r="C24" s="15">
        <v>43520</v>
      </c>
      <c r="D24" s="14" t="str">
        <f t="shared" si="2"/>
        <v>Sunday</v>
      </c>
      <c r="E24" s="13" t="s">
        <v>66</v>
      </c>
      <c r="F24" s="27" t="s">
        <v>62</v>
      </c>
      <c r="G24" s="27" t="s">
        <v>54</v>
      </c>
      <c r="H24" s="27" t="s">
        <v>86</v>
      </c>
      <c r="I24" s="13">
        <v>10</v>
      </c>
      <c r="J24" s="13"/>
      <c r="K24" s="41" t="s">
        <v>43</v>
      </c>
      <c r="L24" s="13"/>
      <c r="N24" s="2"/>
      <c r="S24" s="1"/>
      <c r="T24" s="1"/>
      <c r="U24" s="1"/>
      <c r="V24" s="1" t="s">
        <v>20</v>
      </c>
      <c r="W24" s="1"/>
      <c r="X24" s="1"/>
    </row>
    <row r="25" spans="2:24">
      <c r="B25" s="17">
        <v>18</v>
      </c>
      <c r="C25" s="15">
        <v>43521</v>
      </c>
      <c r="D25" s="14" t="str">
        <f t="shared" si="2"/>
        <v>Monday</v>
      </c>
      <c r="E25" s="13" t="s">
        <v>66</v>
      </c>
      <c r="F25" s="27" t="s">
        <v>61</v>
      </c>
      <c r="G25" s="27" t="s">
        <v>59</v>
      </c>
      <c r="H25" s="27" t="s">
        <v>87</v>
      </c>
      <c r="I25" s="13">
        <v>19.3</v>
      </c>
      <c r="J25" s="13"/>
      <c r="K25" s="41" t="s">
        <v>43</v>
      </c>
      <c r="L25" s="13"/>
      <c r="N25" s="2"/>
      <c r="S25" s="1"/>
      <c r="T25" s="1"/>
      <c r="U25" s="1"/>
      <c r="V25" s="1" t="s">
        <v>22</v>
      </c>
      <c r="W25" s="1"/>
      <c r="X25" s="1"/>
    </row>
    <row r="26" spans="2:24">
      <c r="B26" s="17">
        <v>19</v>
      </c>
      <c r="C26" s="15">
        <v>43521</v>
      </c>
      <c r="D26" s="14" t="str">
        <f t="shared" si="2"/>
        <v>Monday</v>
      </c>
      <c r="E26" s="13" t="s">
        <v>57</v>
      </c>
      <c r="F26" s="27" t="s">
        <v>88</v>
      </c>
      <c r="G26" s="27" t="s">
        <v>54</v>
      </c>
      <c r="H26" s="27" t="s">
        <v>89</v>
      </c>
      <c r="I26" s="13">
        <v>3.6</v>
      </c>
      <c r="J26" s="13"/>
      <c r="K26" s="39" t="s">
        <v>44</v>
      </c>
      <c r="L26" s="13"/>
      <c r="S26" s="1"/>
      <c r="T26" s="1"/>
      <c r="U26" s="1"/>
      <c r="V26" s="1" t="s">
        <v>23</v>
      </c>
      <c r="W26" s="1"/>
      <c r="X26" s="1"/>
    </row>
    <row r="27" spans="2:24">
      <c r="B27" s="17">
        <v>20</v>
      </c>
      <c r="C27" s="15">
        <v>43518</v>
      </c>
      <c r="D27" s="14" t="str">
        <f t="shared" si="2"/>
        <v>Friday</v>
      </c>
      <c r="E27" s="13" t="s">
        <v>57</v>
      </c>
      <c r="F27" s="27" t="s">
        <v>90</v>
      </c>
      <c r="G27" s="27"/>
      <c r="H27" s="27" t="s">
        <v>91</v>
      </c>
      <c r="I27" s="13">
        <v>50</v>
      </c>
      <c r="J27" s="13"/>
      <c r="K27" s="37" t="s">
        <v>45</v>
      </c>
      <c r="L27" s="13"/>
      <c r="S27" s="1"/>
      <c r="T27" s="1"/>
      <c r="U27" s="1"/>
      <c r="V27" s="1" t="s">
        <v>24</v>
      </c>
      <c r="W27" s="1"/>
      <c r="X27" s="1"/>
    </row>
    <row r="28" spans="2:24">
      <c r="B28" s="17">
        <v>21</v>
      </c>
      <c r="C28" s="15">
        <v>43521</v>
      </c>
      <c r="D28" s="14" t="str">
        <f t="shared" si="2"/>
        <v>Monday</v>
      </c>
      <c r="E28" s="13" t="s">
        <v>57</v>
      </c>
      <c r="F28" s="27" t="s">
        <v>90</v>
      </c>
      <c r="G28" s="27"/>
      <c r="H28" s="27" t="s">
        <v>92</v>
      </c>
      <c r="I28" s="13">
        <v>34.9</v>
      </c>
      <c r="J28" s="13"/>
      <c r="K28" s="37" t="s">
        <v>45</v>
      </c>
      <c r="L28" s="13"/>
      <c r="S28" s="1"/>
      <c r="T28" s="1"/>
      <c r="U28" s="1"/>
      <c r="V28" s="1" t="s">
        <v>25</v>
      </c>
      <c r="W28" s="1"/>
      <c r="X28" s="1"/>
    </row>
    <row r="29" spans="2:24" hidden="1">
      <c r="B29" s="17">
        <v>22</v>
      </c>
      <c r="C29" s="15">
        <v>43521</v>
      </c>
      <c r="D29" s="14" t="str">
        <f t="shared" si="2"/>
        <v>Monday</v>
      </c>
      <c r="E29" s="13"/>
      <c r="F29" s="27"/>
      <c r="G29" s="27"/>
      <c r="H29" s="27" t="s">
        <v>44</v>
      </c>
      <c r="I29" s="13">
        <v>500</v>
      </c>
      <c r="J29" s="13"/>
      <c r="K29" s="37" t="s">
        <v>45</v>
      </c>
      <c r="L29" s="13"/>
      <c r="S29" s="1"/>
      <c r="T29" s="1"/>
      <c r="U29" s="1"/>
      <c r="V29" s="1" t="s">
        <v>26</v>
      </c>
      <c r="W29" s="1"/>
      <c r="X29" s="1"/>
    </row>
    <row r="30" spans="2:24">
      <c r="B30" s="17"/>
      <c r="C30" s="43"/>
      <c r="D30" s="44" t="str">
        <f t="shared" si="2"/>
        <v>Saturday</v>
      </c>
      <c r="E30" s="45"/>
      <c r="F30" s="45"/>
      <c r="G30" s="45"/>
      <c r="H30" s="45"/>
      <c r="I30" s="17"/>
      <c r="J30" s="17"/>
      <c r="K30" s="17"/>
      <c r="L30" s="17"/>
      <c r="S30" s="1"/>
      <c r="T30" s="1"/>
      <c r="U30" s="1"/>
      <c r="V30" s="1" t="s">
        <v>27</v>
      </c>
      <c r="W30" s="1"/>
      <c r="X30" s="1"/>
    </row>
    <row r="31" spans="2:24">
      <c r="B31" s="13"/>
      <c r="C31" s="13"/>
      <c r="D31" s="13"/>
      <c r="E31" s="13"/>
      <c r="F31" s="13"/>
      <c r="G31" s="13"/>
      <c r="H31" s="13"/>
      <c r="I31" s="13">
        <f>SUBTOTAL(109,[Amount])</f>
        <v>709.69999999999993</v>
      </c>
      <c r="J31" s="13"/>
      <c r="K31" s="13"/>
      <c r="L31" s="13"/>
      <c r="S31" s="1"/>
      <c r="T31" s="1"/>
      <c r="U31" s="1"/>
      <c r="V31" s="1" t="s">
        <v>28</v>
      </c>
      <c r="W31" s="1"/>
      <c r="X31" s="1"/>
    </row>
    <row r="32" spans="2:24">
      <c r="B32" s="17"/>
      <c r="C32" s="32"/>
      <c r="D32" s="14"/>
      <c r="E32" s="13"/>
      <c r="F32" s="22"/>
      <c r="G32" s="27"/>
      <c r="H32" s="22"/>
      <c r="I32" s="13"/>
      <c r="J32" s="13"/>
      <c r="K32" s="13"/>
      <c r="L32" s="13"/>
      <c r="S32" s="1"/>
      <c r="T32" s="1"/>
      <c r="U32" s="1"/>
      <c r="V32" s="1" t="s">
        <v>29</v>
      </c>
      <c r="W32" s="1"/>
      <c r="X32" s="1"/>
    </row>
    <row r="33" spans="2:24">
      <c r="B33" s="17"/>
      <c r="C33" s="32"/>
      <c r="D33" s="14"/>
      <c r="E33" s="13"/>
      <c r="F33" s="22"/>
      <c r="G33" s="27"/>
      <c r="H33" s="22"/>
      <c r="I33" s="13"/>
      <c r="J33" s="13"/>
      <c r="K33" s="13"/>
      <c r="L33" s="13"/>
      <c r="S33" s="1"/>
      <c r="T33" s="1"/>
      <c r="U33" s="1"/>
      <c r="V33" s="1" t="s">
        <v>30</v>
      </c>
      <c r="W33" s="1"/>
      <c r="X33" s="1"/>
    </row>
    <row r="34" spans="2:24">
      <c r="B34" s="17"/>
      <c r="C34" s="32"/>
      <c r="D34" s="14"/>
      <c r="E34" s="13"/>
      <c r="F34" s="22"/>
      <c r="G34" s="27"/>
      <c r="H34" s="22"/>
      <c r="I34" s="13"/>
      <c r="J34" s="13"/>
      <c r="K34" s="40"/>
      <c r="L34" s="13"/>
      <c r="S34" s="1"/>
      <c r="T34" s="1"/>
      <c r="U34" s="1"/>
      <c r="V34" s="1" t="s">
        <v>31</v>
      </c>
      <c r="W34" s="1"/>
      <c r="X34" s="1"/>
    </row>
    <row r="35" spans="2:24">
      <c r="B35" s="17"/>
      <c r="C35" s="33"/>
      <c r="D35" s="36"/>
      <c r="E35" s="24"/>
      <c r="F35" s="24"/>
      <c r="G35" s="24"/>
      <c r="H35" s="24"/>
      <c r="I35" s="17"/>
      <c r="J35" s="17"/>
      <c r="K35" s="24"/>
      <c r="L35" s="17"/>
      <c r="S35" s="1"/>
      <c r="T35" s="1"/>
      <c r="U35" s="1"/>
      <c r="V35" s="1" t="s">
        <v>32</v>
      </c>
      <c r="W35" s="1"/>
      <c r="X35" s="1"/>
    </row>
    <row r="36" spans="2:24">
      <c r="B36" s="6"/>
      <c r="C36" s="15"/>
      <c r="D36" s="14"/>
      <c r="E36" s="22"/>
      <c r="F36" s="22"/>
      <c r="G36" s="22"/>
      <c r="H36" s="22"/>
      <c r="I36" s="13"/>
      <c r="J36" s="13"/>
      <c r="K36" s="22"/>
      <c r="L36" s="13"/>
      <c r="S36" s="1"/>
      <c r="T36" s="1"/>
      <c r="U36" s="1"/>
      <c r="V36" s="1" t="s">
        <v>33</v>
      </c>
      <c r="W36" s="1"/>
      <c r="X36" s="1"/>
    </row>
    <row r="37" spans="2:24">
      <c r="B37" s="6"/>
      <c r="C37" s="15"/>
      <c r="D37" s="14"/>
      <c r="E37" s="22"/>
      <c r="F37" s="22"/>
      <c r="G37" s="22"/>
      <c r="H37" s="22"/>
      <c r="I37" s="13"/>
      <c r="J37" s="13"/>
      <c r="K37" s="22"/>
      <c r="L37" s="13"/>
      <c r="S37" s="1"/>
      <c r="T37" s="25"/>
      <c r="U37" s="1"/>
      <c r="V37" s="1" t="s">
        <v>34</v>
      </c>
      <c r="W37" s="1"/>
      <c r="X37" s="1"/>
    </row>
    <row r="38" spans="2:24">
      <c r="B38" s="6"/>
      <c r="C38" s="15"/>
      <c r="D38" s="14"/>
      <c r="E38" s="22"/>
      <c r="F38" s="22"/>
      <c r="G38" s="22"/>
      <c r="H38" s="22"/>
      <c r="I38" s="13"/>
      <c r="J38" s="13"/>
      <c r="K38" s="22"/>
      <c r="L38" s="13"/>
      <c r="S38" s="1"/>
      <c r="T38" s="1"/>
      <c r="U38" s="1"/>
      <c r="V38" s="1" t="s">
        <v>35</v>
      </c>
      <c r="W38" s="1"/>
      <c r="X38" s="1"/>
    </row>
    <row r="39" spans="2:24">
      <c r="B39" s="6"/>
      <c r="C39" s="15"/>
      <c r="D39" s="14"/>
      <c r="E39" s="22"/>
      <c r="F39" s="22"/>
      <c r="G39" s="22"/>
      <c r="H39" s="22"/>
      <c r="I39" s="13"/>
      <c r="J39" s="13"/>
      <c r="K39" s="22"/>
      <c r="L39" s="13"/>
      <c r="S39" s="1"/>
      <c r="T39" s="1"/>
      <c r="U39" s="1"/>
      <c r="V39" s="1" t="s">
        <v>36</v>
      </c>
      <c r="W39" s="1"/>
      <c r="X39" s="1"/>
    </row>
    <row r="40" spans="2:24">
      <c r="B40" s="6"/>
      <c r="C40" s="15"/>
      <c r="D40" s="14"/>
      <c r="E40" s="22"/>
      <c r="F40" s="22"/>
      <c r="G40" s="22"/>
      <c r="H40" s="22"/>
      <c r="I40" s="13"/>
      <c r="J40" s="13"/>
      <c r="K40" s="22"/>
      <c r="L40" s="13"/>
      <c r="S40" s="1"/>
      <c r="T40" s="1"/>
      <c r="U40" s="1"/>
      <c r="V40" s="1" t="s">
        <v>37</v>
      </c>
      <c r="W40" s="1"/>
      <c r="X40" s="1"/>
    </row>
    <row r="41" spans="2:24">
      <c r="B41" s="6"/>
      <c r="C41" s="15"/>
      <c r="D41" s="14"/>
      <c r="E41" s="22"/>
      <c r="F41" s="22"/>
      <c r="G41" s="22"/>
      <c r="H41" s="22"/>
      <c r="I41" s="13"/>
      <c r="J41" s="13"/>
      <c r="K41" s="22"/>
      <c r="L41" s="13"/>
      <c r="S41" s="1"/>
      <c r="T41" s="1"/>
      <c r="U41" s="1"/>
      <c r="V41" s="1" t="s">
        <v>38</v>
      </c>
      <c r="W41" s="1"/>
      <c r="X41" s="1"/>
    </row>
    <row r="42" spans="2:24">
      <c r="B42" s="6"/>
      <c r="C42" s="15"/>
      <c r="D42" s="14"/>
      <c r="E42" s="13"/>
      <c r="F42" s="22"/>
      <c r="G42" s="22"/>
      <c r="H42" s="22"/>
      <c r="I42" s="13"/>
      <c r="J42" s="13"/>
      <c r="K42" s="22"/>
      <c r="L42" s="13"/>
      <c r="S42" s="1"/>
      <c r="T42" s="1"/>
      <c r="U42" s="1"/>
      <c r="V42" s="1" t="s">
        <v>39</v>
      </c>
      <c r="W42" s="1"/>
      <c r="X42" s="1"/>
    </row>
    <row r="43" spans="2:24">
      <c r="B43" s="6"/>
      <c r="C43" s="15"/>
      <c r="D43" s="14"/>
      <c r="E43" s="13"/>
      <c r="F43" s="22"/>
      <c r="G43" s="22"/>
      <c r="H43" s="22"/>
      <c r="I43" s="13"/>
      <c r="J43" s="13"/>
      <c r="K43" s="22"/>
      <c r="L43" s="13"/>
      <c r="S43" s="1"/>
      <c r="T43" s="1"/>
      <c r="U43" s="1"/>
      <c r="V43" s="1" t="s">
        <v>40</v>
      </c>
      <c r="W43" s="1"/>
      <c r="X43" s="1"/>
    </row>
    <row r="44" spans="2:24">
      <c r="B44" s="6"/>
      <c r="C44" s="15"/>
      <c r="D44" s="14"/>
      <c r="E44" s="13"/>
      <c r="F44" s="22"/>
      <c r="G44" s="22"/>
      <c r="H44" s="22"/>
      <c r="I44" s="13"/>
      <c r="J44" s="13"/>
      <c r="K44" s="22"/>
      <c r="L44" s="13"/>
      <c r="S44" s="1"/>
      <c r="T44" s="1"/>
      <c r="U44" s="1"/>
      <c r="V44" s="1" t="s">
        <v>41</v>
      </c>
      <c r="W44" s="1"/>
      <c r="X44" s="1"/>
    </row>
    <row r="45" spans="2:24">
      <c r="B45" s="6"/>
      <c r="C45" s="15"/>
      <c r="D45" s="14"/>
      <c r="E45" s="13"/>
      <c r="F45" s="22"/>
      <c r="G45" s="22"/>
      <c r="H45" s="22"/>
      <c r="I45" s="13"/>
      <c r="J45" s="13"/>
      <c r="K45" s="22"/>
      <c r="L45" s="13"/>
      <c r="V45" s="2"/>
    </row>
    <row r="46" spans="2:24">
      <c r="B46" s="6"/>
      <c r="C46" s="15"/>
      <c r="D46" s="14"/>
      <c r="E46" s="13"/>
      <c r="F46" s="22"/>
      <c r="G46" s="22"/>
      <c r="H46" s="22"/>
      <c r="I46" s="13"/>
      <c r="J46" s="13"/>
      <c r="K46" s="22"/>
      <c r="L46" s="13"/>
      <c r="V46" s="2"/>
    </row>
    <row r="47" spans="2:24">
      <c r="B47" s="6"/>
      <c r="C47" s="15"/>
      <c r="D47" s="14"/>
      <c r="E47" s="13"/>
      <c r="F47" s="22"/>
      <c r="G47" s="22"/>
      <c r="H47" s="22"/>
      <c r="I47" s="13"/>
      <c r="J47" s="13"/>
      <c r="K47" s="22"/>
      <c r="L47" s="13"/>
      <c r="V47" s="2"/>
    </row>
    <row r="48" spans="2:24">
      <c r="B48" s="6"/>
      <c r="C48" s="15"/>
      <c r="D48" s="14"/>
      <c r="E48" s="13"/>
      <c r="F48" s="22"/>
      <c r="G48" s="22"/>
      <c r="H48" s="22"/>
      <c r="I48" s="13"/>
      <c r="J48" s="13"/>
      <c r="K48" s="22"/>
      <c r="L48" s="13"/>
      <c r="V48" s="2"/>
    </row>
    <row r="49" spans="2:22">
      <c r="B49" s="6"/>
      <c r="C49" s="15"/>
      <c r="D49" s="14"/>
      <c r="E49" s="13"/>
      <c r="F49" s="22"/>
      <c r="G49" s="22"/>
      <c r="H49" s="22"/>
      <c r="I49" s="13"/>
      <c r="J49" s="13"/>
      <c r="K49" s="22"/>
      <c r="L49" s="13"/>
      <c r="V49" s="2"/>
    </row>
    <row r="50" spans="2:22">
      <c r="B50" s="6"/>
      <c r="C50" s="15"/>
      <c r="D50" s="14"/>
      <c r="E50" s="13"/>
      <c r="F50" s="22"/>
      <c r="G50" s="22"/>
      <c r="H50" s="22"/>
      <c r="I50" s="13"/>
      <c r="J50" s="13"/>
      <c r="K50" s="22"/>
      <c r="L50" s="13"/>
      <c r="V50" s="2"/>
    </row>
    <row r="51" spans="2:22">
      <c r="B51" s="6"/>
      <c r="C51" s="15"/>
      <c r="D51" s="14"/>
      <c r="E51" s="13"/>
      <c r="F51" s="22"/>
      <c r="G51" s="22"/>
      <c r="H51" s="22"/>
      <c r="I51" s="13"/>
      <c r="J51" s="13"/>
      <c r="K51" s="22"/>
      <c r="L51" s="13"/>
      <c r="V51" s="2"/>
    </row>
    <row r="52" spans="2:22">
      <c r="B52" s="6"/>
      <c r="C52" s="15"/>
      <c r="D52" s="14"/>
      <c r="E52" s="13"/>
      <c r="F52" s="22"/>
      <c r="G52" s="22"/>
      <c r="H52" s="22"/>
      <c r="I52" s="13"/>
      <c r="J52" s="13"/>
      <c r="K52" s="22"/>
      <c r="L52" s="13"/>
      <c r="V52" s="2"/>
    </row>
    <row r="53" spans="2:22">
      <c r="B53" s="6"/>
      <c r="C53" s="15"/>
      <c r="D53" s="14"/>
      <c r="E53" s="13"/>
      <c r="F53" s="22"/>
      <c r="G53" s="22"/>
      <c r="H53" s="22"/>
      <c r="I53" s="13"/>
      <c r="J53" s="13"/>
      <c r="K53" s="22"/>
      <c r="L53" s="13"/>
      <c r="V53" s="2"/>
    </row>
    <row r="54" spans="2:22">
      <c r="B54" s="6"/>
      <c r="C54" s="15"/>
      <c r="D54" s="14"/>
      <c r="E54" s="13"/>
      <c r="F54" s="22"/>
      <c r="G54" s="22"/>
      <c r="H54" s="22"/>
      <c r="I54" s="13"/>
      <c r="J54" s="13"/>
      <c r="K54" s="22"/>
      <c r="L54" s="13"/>
      <c r="V54" s="2"/>
    </row>
    <row r="55" spans="2:22">
      <c r="B55" s="6"/>
      <c r="C55" s="15"/>
      <c r="D55" s="14"/>
      <c r="E55" s="13"/>
      <c r="F55" s="22"/>
      <c r="G55" s="22"/>
      <c r="H55" s="22"/>
      <c r="I55" s="13"/>
      <c r="J55" s="13"/>
      <c r="K55" s="22"/>
      <c r="L55" s="13"/>
      <c r="V55" s="2"/>
    </row>
    <row r="56" spans="2:22">
      <c r="B56" s="6"/>
      <c r="C56" s="15"/>
      <c r="D56" s="14"/>
      <c r="E56" s="13"/>
      <c r="F56" s="22"/>
      <c r="G56" s="22"/>
      <c r="H56" s="22"/>
      <c r="I56" s="13"/>
      <c r="J56" s="13"/>
      <c r="K56" s="22"/>
      <c r="L56" s="13"/>
      <c r="V56" s="2"/>
    </row>
    <row r="57" spans="2:22">
      <c r="B57" s="6"/>
      <c r="C57" s="15"/>
      <c r="D57" s="14"/>
      <c r="E57" s="13"/>
      <c r="F57" s="22"/>
      <c r="G57" s="22"/>
      <c r="H57" s="22"/>
      <c r="I57" s="13"/>
      <c r="J57" s="13"/>
      <c r="K57" s="22"/>
      <c r="L57" s="13"/>
      <c r="V57" s="2"/>
    </row>
    <row r="58" spans="2:22">
      <c r="B58" s="6"/>
      <c r="C58" s="15"/>
      <c r="D58" s="14"/>
      <c r="E58" s="13"/>
      <c r="F58" s="22"/>
      <c r="G58" s="22"/>
      <c r="H58" s="22"/>
      <c r="I58" s="13"/>
      <c r="J58" s="13"/>
      <c r="K58" s="22"/>
      <c r="L58" s="13"/>
      <c r="V58" s="2"/>
    </row>
    <row r="59" spans="2:22">
      <c r="B59" s="6"/>
      <c r="C59" s="32"/>
      <c r="D59" s="14"/>
      <c r="E59" s="13"/>
      <c r="F59" s="22"/>
      <c r="G59" s="22"/>
      <c r="H59" s="22"/>
      <c r="I59" s="13"/>
      <c r="J59" s="13"/>
      <c r="K59" s="22"/>
      <c r="L59" s="13"/>
      <c r="V59" s="2"/>
    </row>
    <row r="60" spans="2:22">
      <c r="B60" s="6"/>
      <c r="C60" s="15"/>
      <c r="D60" s="14"/>
      <c r="E60" s="13"/>
      <c r="F60" s="22"/>
      <c r="G60" s="22"/>
      <c r="H60" s="22"/>
      <c r="I60" s="13"/>
      <c r="J60" s="13"/>
      <c r="K60" s="22"/>
      <c r="L60" s="13"/>
      <c r="V60" s="2"/>
    </row>
    <row r="61" spans="2:22">
      <c r="B61" s="6"/>
      <c r="C61" s="15"/>
      <c r="D61" s="14"/>
      <c r="E61" s="13"/>
      <c r="F61" s="22"/>
      <c r="G61" s="22"/>
      <c r="H61" s="22"/>
      <c r="I61" s="13"/>
      <c r="J61" s="13"/>
      <c r="K61" s="22"/>
      <c r="L61" s="13"/>
      <c r="V61" s="2"/>
    </row>
    <row r="62" spans="2:22">
      <c r="B62" s="6"/>
      <c r="C62" s="15"/>
      <c r="D62" s="14"/>
      <c r="E62" s="13"/>
      <c r="F62" s="22"/>
      <c r="G62" s="22"/>
      <c r="H62" s="22"/>
      <c r="I62" s="13"/>
      <c r="J62" s="13"/>
      <c r="K62" s="22"/>
      <c r="L62" s="13"/>
    </row>
    <row r="63" spans="2:22">
      <c r="B63" s="6"/>
      <c r="C63" s="32"/>
      <c r="D63" s="14"/>
      <c r="E63" s="13"/>
      <c r="F63" s="22"/>
      <c r="G63" s="22"/>
      <c r="H63" s="22"/>
      <c r="I63" s="13"/>
      <c r="J63" s="13"/>
      <c r="K63" s="22"/>
      <c r="L63" s="13"/>
    </row>
    <row r="64" spans="2:22">
      <c r="B64" s="6"/>
      <c r="C64" s="15"/>
      <c r="D64" s="14"/>
      <c r="E64" s="13"/>
      <c r="F64" s="22"/>
      <c r="G64" s="22"/>
      <c r="H64" s="22"/>
      <c r="I64" s="13"/>
      <c r="J64" s="13"/>
      <c r="K64" s="22"/>
      <c r="L64" s="13"/>
    </row>
    <row r="65" spans="2:12">
      <c r="B65" s="6"/>
      <c r="C65" s="15"/>
      <c r="D65" s="14"/>
      <c r="E65" s="13"/>
      <c r="F65" s="22"/>
      <c r="G65" s="22"/>
      <c r="H65" s="22"/>
      <c r="I65" s="13"/>
      <c r="J65" s="13"/>
      <c r="K65" s="22"/>
      <c r="L65" s="13"/>
    </row>
    <row r="66" spans="2:12">
      <c r="B66" s="6"/>
      <c r="C66" s="15"/>
      <c r="D66" s="14"/>
      <c r="E66" s="13"/>
      <c r="F66" s="22"/>
      <c r="G66" s="22"/>
      <c r="H66" s="22"/>
      <c r="I66" s="13"/>
      <c r="J66" s="13"/>
      <c r="K66" s="22"/>
      <c r="L66" s="13"/>
    </row>
    <row r="67" spans="2:12">
      <c r="B67" s="6"/>
      <c r="C67" s="15"/>
      <c r="D67" s="14"/>
      <c r="E67" s="13"/>
      <c r="F67" s="22"/>
      <c r="G67" s="22"/>
      <c r="H67" s="22"/>
      <c r="I67" s="13"/>
      <c r="J67" s="13"/>
      <c r="K67" s="22"/>
      <c r="L67" s="13"/>
    </row>
    <row r="68" spans="2:12">
      <c r="B68" s="6"/>
      <c r="C68" s="32"/>
      <c r="D68" s="14"/>
      <c r="E68" s="13"/>
      <c r="F68" s="22"/>
      <c r="G68" s="22"/>
      <c r="H68" s="22"/>
      <c r="I68" s="13"/>
      <c r="J68" s="13"/>
      <c r="K68" s="22"/>
      <c r="L68" s="13"/>
    </row>
    <row r="69" spans="2:12">
      <c r="B69" s="6"/>
      <c r="C69" s="15"/>
      <c r="D69" s="14"/>
      <c r="E69" s="13"/>
      <c r="F69" s="22"/>
      <c r="G69" s="22"/>
      <c r="H69" s="22"/>
      <c r="I69" s="13"/>
      <c r="J69" s="13"/>
      <c r="K69" s="22"/>
      <c r="L69" s="13"/>
    </row>
    <row r="70" spans="2:12">
      <c r="B70" s="6"/>
      <c r="C70" s="15"/>
      <c r="D70" s="14"/>
      <c r="E70" s="13"/>
      <c r="F70" s="22"/>
      <c r="G70" s="22"/>
      <c r="H70" s="22"/>
      <c r="I70" s="13"/>
      <c r="J70" s="13"/>
      <c r="K70" s="22"/>
      <c r="L70" s="13"/>
    </row>
    <row r="71" spans="2:12">
      <c r="B71" s="6"/>
      <c r="C71" s="15"/>
      <c r="D71" s="14"/>
      <c r="E71" s="13"/>
      <c r="F71" s="22"/>
      <c r="G71" s="22"/>
      <c r="H71" s="22"/>
      <c r="I71" s="13"/>
      <c r="J71" s="13"/>
      <c r="K71" s="22"/>
      <c r="L71" s="13"/>
    </row>
    <row r="72" spans="2:12">
      <c r="B72" s="6"/>
      <c r="C72" s="32"/>
      <c r="D72" s="14"/>
      <c r="E72" s="13"/>
      <c r="F72" s="22"/>
      <c r="G72" s="22"/>
      <c r="H72" s="22"/>
      <c r="I72" s="13"/>
      <c r="J72" s="13"/>
      <c r="K72" s="22"/>
      <c r="L72" s="13"/>
    </row>
    <row r="73" spans="2:12">
      <c r="B73" s="6"/>
      <c r="C73" s="15"/>
      <c r="D73" s="14"/>
      <c r="E73" s="13"/>
      <c r="F73" s="22"/>
      <c r="G73" s="22"/>
      <c r="H73" s="22"/>
      <c r="I73" s="13"/>
      <c r="J73" s="13"/>
      <c r="K73" s="22"/>
      <c r="L73" s="13"/>
    </row>
    <row r="74" spans="2:12">
      <c r="B74" s="6"/>
      <c r="C74" s="15"/>
      <c r="D74" s="14"/>
      <c r="E74" s="13"/>
      <c r="F74" s="22"/>
      <c r="G74" s="22"/>
      <c r="H74" s="22"/>
      <c r="I74" s="13"/>
      <c r="J74" s="13"/>
      <c r="K74" s="22"/>
      <c r="L74" s="13"/>
    </row>
    <row r="75" spans="2:12">
      <c r="B75" s="6"/>
      <c r="C75" s="15"/>
      <c r="D75" s="14"/>
      <c r="E75" s="13"/>
      <c r="F75" s="22"/>
      <c r="G75" s="22"/>
      <c r="H75" s="22"/>
      <c r="I75" s="13"/>
      <c r="J75" s="13"/>
      <c r="K75" s="22"/>
      <c r="L75" s="13"/>
    </row>
    <row r="76" spans="2:12">
      <c r="B76" s="6"/>
      <c r="C76" s="15"/>
      <c r="D76" s="14"/>
      <c r="E76" s="13"/>
      <c r="F76" s="22"/>
      <c r="G76" s="22"/>
      <c r="H76" s="22"/>
      <c r="I76" s="13"/>
      <c r="J76" s="13"/>
      <c r="K76" s="22"/>
      <c r="L76" s="13"/>
    </row>
    <row r="77" spans="2:12">
      <c r="B77" s="6"/>
      <c r="C77" s="15"/>
      <c r="D77" s="14"/>
      <c r="E77" s="13"/>
      <c r="F77" s="22"/>
      <c r="G77" s="22"/>
      <c r="H77" s="22"/>
      <c r="I77" s="13"/>
      <c r="J77" s="13"/>
      <c r="K77" s="22"/>
      <c r="L77" s="13"/>
    </row>
    <row r="78" spans="2:12">
      <c r="B78" s="6"/>
      <c r="C78" s="15"/>
      <c r="D78" s="14"/>
      <c r="E78" s="13"/>
      <c r="F78" s="22"/>
      <c r="G78" s="22"/>
      <c r="H78" s="22"/>
      <c r="I78" s="13"/>
      <c r="J78" s="13"/>
      <c r="K78" s="22"/>
      <c r="L78" s="13"/>
    </row>
    <row r="79" spans="2:12">
      <c r="B79" s="6"/>
      <c r="C79" s="15"/>
      <c r="D79" s="14"/>
      <c r="E79" s="13"/>
      <c r="F79" s="22"/>
      <c r="G79" s="22"/>
      <c r="H79" s="22"/>
      <c r="I79" s="13"/>
      <c r="J79" s="13"/>
      <c r="K79" s="22"/>
      <c r="L79" s="13"/>
    </row>
    <row r="80" spans="2:12">
      <c r="B80" s="6"/>
      <c r="C80" s="15"/>
      <c r="D80" s="14"/>
      <c r="E80" s="13"/>
      <c r="F80" s="22"/>
      <c r="G80" s="22"/>
      <c r="H80" s="22"/>
      <c r="I80" s="13"/>
      <c r="J80" s="13"/>
      <c r="K80" s="22"/>
      <c r="L80" s="13"/>
    </row>
    <row r="81" spans="2:12">
      <c r="B81" s="6"/>
      <c r="C81" s="15"/>
      <c r="D81" s="14"/>
      <c r="E81" s="13"/>
      <c r="F81" s="22"/>
      <c r="G81" s="22"/>
      <c r="H81" s="22"/>
      <c r="I81" s="13"/>
      <c r="J81" s="13"/>
      <c r="K81" s="22"/>
      <c r="L81" s="13"/>
    </row>
    <row r="82" spans="2:12">
      <c r="B82" s="6"/>
      <c r="C82" s="15"/>
      <c r="D82" s="14"/>
      <c r="E82" s="13"/>
      <c r="F82" s="22"/>
      <c r="G82" s="22"/>
      <c r="H82" s="22"/>
      <c r="I82" s="13"/>
      <c r="J82" s="13"/>
      <c r="K82" s="22"/>
      <c r="L82" s="13"/>
    </row>
    <row r="83" spans="2:12">
      <c r="B83" s="6"/>
      <c r="C83" s="15"/>
      <c r="D83" s="14"/>
      <c r="E83" s="13"/>
      <c r="F83" s="22"/>
      <c r="G83" s="22"/>
      <c r="H83" s="22"/>
      <c r="I83" s="13"/>
      <c r="J83" s="13"/>
      <c r="K83" s="22"/>
      <c r="L83" s="13"/>
    </row>
    <row r="84" spans="2:12">
      <c r="B84" s="6"/>
      <c r="C84" s="15"/>
      <c r="D84" s="14"/>
      <c r="E84" s="13"/>
      <c r="F84" s="22"/>
      <c r="G84" s="22"/>
      <c r="H84" s="22"/>
      <c r="I84" s="13"/>
      <c r="J84" s="13"/>
      <c r="K84" s="22"/>
      <c r="L84" s="13"/>
    </row>
    <row r="85" spans="2:12">
      <c r="B85" s="6"/>
      <c r="C85" s="15"/>
      <c r="D85" s="14"/>
      <c r="E85" s="13"/>
      <c r="F85" s="22"/>
      <c r="G85" s="22"/>
      <c r="H85" s="22"/>
      <c r="I85" s="13"/>
      <c r="J85" s="13"/>
      <c r="K85" s="22"/>
      <c r="L85" s="13"/>
    </row>
    <row r="86" spans="2:12">
      <c r="B86" s="6"/>
      <c r="C86" s="15"/>
      <c r="D86" s="14"/>
      <c r="E86" s="13"/>
      <c r="F86" s="22"/>
      <c r="G86" s="22"/>
      <c r="H86" s="22"/>
      <c r="I86" s="13"/>
      <c r="J86" s="13"/>
      <c r="K86" s="22"/>
      <c r="L86" s="13"/>
    </row>
    <row r="87" spans="2:12">
      <c r="B87" s="6"/>
      <c r="C87" s="15"/>
      <c r="D87" s="14"/>
      <c r="E87" s="13"/>
      <c r="F87" s="22"/>
      <c r="G87" s="22"/>
      <c r="H87" s="22"/>
      <c r="I87" s="13"/>
      <c r="J87" s="13"/>
      <c r="K87" s="22"/>
      <c r="L87" s="13"/>
    </row>
    <row r="88" spans="2:12">
      <c r="B88" s="6"/>
      <c r="C88" s="15"/>
      <c r="D88" s="14"/>
      <c r="E88" s="13"/>
      <c r="F88" s="22"/>
      <c r="G88" s="22"/>
      <c r="H88" s="22"/>
      <c r="I88" s="13"/>
      <c r="J88" s="13"/>
      <c r="K88" s="22"/>
      <c r="L88" s="13"/>
    </row>
    <row r="89" spans="2:12">
      <c r="B89" s="6"/>
      <c r="C89" s="15"/>
      <c r="D89" s="14"/>
      <c r="E89" s="13"/>
      <c r="F89" s="22"/>
      <c r="G89" s="22"/>
      <c r="H89" s="22"/>
      <c r="I89" s="13"/>
      <c r="J89" s="13"/>
      <c r="K89" s="22"/>
      <c r="L89" s="13"/>
    </row>
    <row r="90" spans="2:12">
      <c r="B90" s="6"/>
      <c r="C90" s="15"/>
      <c r="D90" s="14"/>
      <c r="E90" s="13"/>
      <c r="F90" s="22"/>
      <c r="G90" s="22"/>
      <c r="H90" s="22"/>
      <c r="I90" s="13"/>
      <c r="J90" s="13"/>
      <c r="K90" s="22"/>
      <c r="L90" s="13"/>
    </row>
    <row r="91" spans="2:12">
      <c r="B91" s="6"/>
      <c r="C91" s="15"/>
      <c r="D91" s="14"/>
      <c r="E91" s="13"/>
      <c r="F91" s="22"/>
      <c r="G91" s="22"/>
      <c r="H91" s="22"/>
      <c r="I91" s="13"/>
      <c r="J91" s="13"/>
      <c r="K91" s="22"/>
      <c r="L91" s="13"/>
    </row>
    <row r="92" spans="2:12">
      <c r="B92" s="6"/>
      <c r="C92" s="15"/>
      <c r="D92" s="14"/>
      <c r="E92" s="13"/>
      <c r="F92" s="22"/>
      <c r="G92" s="22"/>
      <c r="H92" s="22"/>
      <c r="I92" s="13"/>
      <c r="J92" s="13"/>
      <c r="K92" s="22"/>
      <c r="L92" s="13"/>
    </row>
    <row r="93" spans="2:12">
      <c r="B93" s="6"/>
      <c r="C93" s="15"/>
      <c r="D93" s="14"/>
      <c r="E93" s="13"/>
      <c r="F93" s="22"/>
      <c r="G93" s="22"/>
      <c r="H93" s="22"/>
      <c r="I93" s="13"/>
      <c r="J93" s="13"/>
      <c r="K93" s="22"/>
      <c r="L93" s="13"/>
    </row>
    <row r="94" spans="2:12">
      <c r="B94" s="6"/>
      <c r="C94" s="15"/>
      <c r="D94" s="14"/>
      <c r="E94" s="13"/>
      <c r="F94" s="22"/>
      <c r="G94" s="22"/>
      <c r="H94" s="22"/>
      <c r="I94" s="13"/>
      <c r="J94" s="13"/>
      <c r="K94" s="22"/>
      <c r="L94" s="13"/>
    </row>
    <row r="95" spans="2:12">
      <c r="B95" s="6"/>
      <c r="C95" s="15"/>
      <c r="D95" s="14"/>
      <c r="E95" s="13"/>
      <c r="F95" s="22"/>
      <c r="G95" s="22"/>
      <c r="H95" s="22"/>
      <c r="I95" s="13"/>
      <c r="J95" s="13"/>
      <c r="K95" s="22"/>
      <c r="L95" s="13"/>
    </row>
    <row r="96" spans="2:12">
      <c r="B96" s="6"/>
      <c r="C96" s="15"/>
      <c r="D96" s="14"/>
      <c r="E96" s="13"/>
      <c r="F96" s="22"/>
      <c r="G96" s="22"/>
      <c r="H96" s="22"/>
      <c r="I96" s="13"/>
      <c r="J96" s="13"/>
      <c r="K96" s="22"/>
      <c r="L96" s="13"/>
    </row>
    <row r="97" spans="2:12">
      <c r="B97" s="6"/>
      <c r="C97" s="15"/>
      <c r="D97" s="14"/>
      <c r="E97" s="13"/>
      <c r="F97" s="22"/>
      <c r="G97" s="22"/>
      <c r="H97" s="22"/>
      <c r="I97" s="13"/>
      <c r="J97" s="13"/>
      <c r="K97" s="22"/>
      <c r="L97" s="13"/>
    </row>
    <row r="98" spans="2:12">
      <c r="B98" s="6"/>
      <c r="C98" s="15"/>
      <c r="D98" s="14"/>
      <c r="E98" s="13"/>
      <c r="F98" s="22"/>
      <c r="G98" s="22"/>
      <c r="H98" s="22"/>
      <c r="I98" s="13"/>
      <c r="J98" s="13"/>
      <c r="K98" s="22"/>
      <c r="L98" s="13"/>
    </row>
    <row r="99" spans="2:12">
      <c r="B99" s="6"/>
      <c r="C99" s="15"/>
      <c r="D99" s="14"/>
      <c r="E99" s="13"/>
      <c r="F99" s="22"/>
      <c r="G99" s="22"/>
      <c r="H99" s="22"/>
      <c r="I99" s="13"/>
      <c r="J99" s="13"/>
      <c r="K99" s="22"/>
      <c r="L99" s="13"/>
    </row>
    <row r="100" spans="2:12">
      <c r="B100" s="6"/>
      <c r="C100" s="15"/>
      <c r="D100" s="14"/>
      <c r="E100" s="13"/>
      <c r="F100" s="22"/>
      <c r="G100" s="22"/>
      <c r="H100" s="22"/>
      <c r="I100" s="13"/>
      <c r="J100" s="13"/>
      <c r="K100" s="22"/>
      <c r="L100" s="13"/>
    </row>
    <row r="101" spans="2:12">
      <c r="B101" s="6"/>
      <c r="C101" s="15"/>
      <c r="D101" s="14"/>
      <c r="E101" s="13"/>
      <c r="F101" s="22"/>
      <c r="G101" s="22"/>
      <c r="H101" s="22"/>
      <c r="I101" s="13"/>
      <c r="J101" s="13"/>
      <c r="K101" s="22"/>
      <c r="L101" s="13"/>
    </row>
    <row r="102" spans="2:12">
      <c r="B102" s="6"/>
      <c r="C102" s="15"/>
      <c r="D102" s="14"/>
      <c r="E102" s="13"/>
      <c r="F102" s="22"/>
      <c r="G102" s="22"/>
      <c r="H102" s="22"/>
      <c r="I102" s="13"/>
      <c r="J102" s="13"/>
      <c r="K102" s="22"/>
      <c r="L102" s="13"/>
    </row>
    <row r="103" spans="2:12">
      <c r="B103" s="6"/>
      <c r="C103" s="15"/>
      <c r="D103" s="14"/>
      <c r="E103" s="13"/>
      <c r="F103" s="22"/>
      <c r="G103" s="22"/>
      <c r="H103" s="22"/>
      <c r="I103" s="13"/>
      <c r="J103" s="13"/>
      <c r="K103" s="22"/>
      <c r="L103" s="13"/>
    </row>
    <row r="104" spans="2:12">
      <c r="B104" s="6"/>
      <c r="C104" s="31"/>
      <c r="D104" s="14"/>
      <c r="E104" s="13"/>
      <c r="F104" s="22"/>
      <c r="G104" s="22"/>
      <c r="H104" s="22"/>
      <c r="I104" s="13"/>
      <c r="J104" s="13"/>
      <c r="K104" s="22"/>
      <c r="L104" s="13"/>
    </row>
    <row r="105" spans="2:12">
      <c r="B105" s="6"/>
      <c r="C105" s="15"/>
      <c r="D105" s="14"/>
      <c r="E105" s="13"/>
      <c r="F105" s="22"/>
      <c r="G105" s="22"/>
      <c r="H105" s="22"/>
      <c r="I105" s="13"/>
      <c r="J105" s="13"/>
      <c r="K105" s="22"/>
      <c r="L105" s="13"/>
    </row>
    <row r="106" spans="2:12">
      <c r="B106" s="6"/>
      <c r="C106" s="32"/>
      <c r="D106" s="14"/>
      <c r="E106" s="13"/>
      <c r="F106" s="22"/>
      <c r="G106" s="22"/>
      <c r="H106" s="22"/>
      <c r="I106" s="13"/>
      <c r="J106" s="13"/>
      <c r="K106" s="22"/>
      <c r="L106" s="13"/>
    </row>
    <row r="107" spans="2:12">
      <c r="B107" s="6"/>
      <c r="C107" s="15"/>
      <c r="D107" s="14"/>
      <c r="E107" s="13"/>
      <c r="F107" s="22"/>
      <c r="G107" s="22"/>
      <c r="H107" s="22"/>
      <c r="I107" s="13"/>
      <c r="J107" s="13"/>
      <c r="K107" s="22"/>
      <c r="L107" s="13"/>
    </row>
    <row r="108" spans="2:12">
      <c r="B108" s="6"/>
      <c r="C108" s="15"/>
      <c r="D108" s="14"/>
      <c r="E108" s="13"/>
      <c r="F108" s="22"/>
      <c r="G108" s="22"/>
      <c r="H108" s="22"/>
      <c r="I108" s="13"/>
      <c r="J108" s="13"/>
      <c r="K108" s="22"/>
      <c r="L108" s="13"/>
    </row>
    <row r="109" spans="2:12">
      <c r="B109" s="6"/>
      <c r="C109" s="15"/>
      <c r="D109" s="14"/>
      <c r="E109" s="13"/>
      <c r="F109" s="22"/>
      <c r="G109" s="22"/>
      <c r="H109" s="22"/>
      <c r="I109" s="13"/>
      <c r="J109" s="13"/>
      <c r="K109" s="22"/>
      <c r="L109" s="13"/>
    </row>
    <row r="110" spans="2:12">
      <c r="B110" s="6"/>
      <c r="C110" s="15"/>
      <c r="D110" s="14"/>
      <c r="E110" s="13"/>
      <c r="F110" s="22"/>
      <c r="G110" s="22"/>
      <c r="H110" s="22"/>
      <c r="I110" s="13"/>
      <c r="J110" s="13"/>
      <c r="K110" s="22"/>
      <c r="L110" s="13"/>
    </row>
    <row r="111" spans="2:12">
      <c r="B111" s="6"/>
      <c r="C111" s="15"/>
      <c r="D111" s="14"/>
      <c r="E111" s="13"/>
      <c r="F111" s="22"/>
      <c r="G111" s="22"/>
      <c r="H111" s="22"/>
      <c r="I111" s="13"/>
      <c r="J111" s="13"/>
      <c r="K111" s="22"/>
      <c r="L111" s="13"/>
    </row>
    <row r="112" spans="2:12">
      <c r="B112" s="6"/>
      <c r="C112" s="15"/>
      <c r="D112" s="14"/>
      <c r="E112" s="13"/>
      <c r="F112" s="22"/>
      <c r="G112" s="22"/>
      <c r="H112" s="22"/>
      <c r="I112" s="13"/>
      <c r="J112" s="13"/>
      <c r="K112" s="22"/>
      <c r="L112" s="13"/>
    </row>
    <row r="113" spans="2:12">
      <c r="B113" s="6"/>
      <c r="C113" s="15"/>
      <c r="D113" s="14"/>
      <c r="E113" s="13"/>
      <c r="F113" s="22"/>
      <c r="G113" s="22"/>
      <c r="H113" s="22"/>
      <c r="I113" s="13"/>
      <c r="J113" s="13"/>
      <c r="K113" s="22"/>
      <c r="L113" s="13"/>
    </row>
    <row r="114" spans="2:12">
      <c r="B114" s="6"/>
      <c r="C114" s="15"/>
      <c r="D114" s="14"/>
      <c r="E114" s="13"/>
      <c r="F114" s="22"/>
      <c r="G114" s="22"/>
      <c r="H114" s="22"/>
      <c r="I114" s="13"/>
      <c r="J114" s="13"/>
      <c r="K114" s="22"/>
      <c r="L114" s="13"/>
    </row>
    <row r="115" spans="2:12">
      <c r="B115" s="6"/>
      <c r="C115" s="32"/>
      <c r="D115" s="14"/>
      <c r="E115" s="13"/>
      <c r="F115" s="22"/>
      <c r="G115" s="22"/>
      <c r="H115" s="22"/>
      <c r="I115" s="13"/>
      <c r="J115" s="13"/>
      <c r="K115" s="22"/>
      <c r="L115" s="13"/>
    </row>
    <row r="116" spans="2:12">
      <c r="B116" s="6"/>
      <c r="C116" s="32"/>
      <c r="D116" s="14"/>
      <c r="E116" s="13"/>
      <c r="F116" s="22"/>
      <c r="G116" s="22"/>
      <c r="H116" s="22"/>
      <c r="I116" s="13"/>
      <c r="J116" s="13"/>
      <c r="K116" s="22"/>
      <c r="L116" s="13"/>
    </row>
    <row r="117" spans="2:12">
      <c r="B117" s="6"/>
      <c r="C117" s="15"/>
      <c r="D117" s="14"/>
      <c r="E117" s="13"/>
      <c r="F117" s="22"/>
      <c r="G117" s="22"/>
      <c r="H117" s="22"/>
      <c r="I117" s="13"/>
      <c r="J117" s="13"/>
      <c r="K117" s="22"/>
      <c r="L117" s="13"/>
    </row>
    <row r="118" spans="2:12">
      <c r="B118" s="6"/>
      <c r="C118" s="15"/>
      <c r="D118" s="14"/>
      <c r="E118" s="13"/>
      <c r="F118" s="22"/>
      <c r="G118" s="22"/>
      <c r="H118" s="22"/>
      <c r="I118" s="13"/>
      <c r="J118" s="13"/>
      <c r="K118" s="22"/>
      <c r="L118" s="13"/>
    </row>
    <row r="119" spans="2:12">
      <c r="B119" s="6"/>
      <c r="C119" s="15"/>
      <c r="D119" s="14"/>
      <c r="E119" s="13"/>
      <c r="F119" s="22"/>
      <c r="G119" s="22"/>
      <c r="H119" s="22"/>
      <c r="I119" s="13"/>
      <c r="J119" s="13"/>
      <c r="K119" s="22"/>
      <c r="L119" s="13"/>
    </row>
    <row r="120" spans="2:12">
      <c r="B120" s="6"/>
      <c r="C120" s="15"/>
      <c r="D120" s="14"/>
      <c r="E120" s="13"/>
      <c r="F120" s="22"/>
      <c r="G120" s="22"/>
      <c r="H120" s="22"/>
      <c r="I120" s="13"/>
      <c r="J120" s="13"/>
      <c r="K120" s="22"/>
      <c r="L120" s="13"/>
    </row>
    <row r="121" spans="2:12">
      <c r="B121" s="6"/>
      <c r="C121" s="32"/>
      <c r="D121" s="14"/>
      <c r="E121" s="13"/>
      <c r="F121" s="22"/>
      <c r="G121" s="22"/>
      <c r="H121" s="22"/>
      <c r="I121" s="13"/>
      <c r="J121" s="13"/>
      <c r="K121" s="22"/>
      <c r="L121" s="13"/>
    </row>
    <row r="122" spans="2:12">
      <c r="B122" s="6"/>
      <c r="C122" s="15"/>
      <c r="D122" s="14"/>
      <c r="E122" s="13"/>
      <c r="F122" s="22"/>
      <c r="G122" s="22"/>
      <c r="H122" s="22"/>
      <c r="I122" s="13"/>
      <c r="J122" s="13"/>
      <c r="K122" s="22"/>
      <c r="L122" s="13"/>
    </row>
    <row r="123" spans="2:12">
      <c r="B123" s="6"/>
      <c r="C123" s="15"/>
      <c r="D123" s="14"/>
      <c r="E123" s="13"/>
      <c r="F123" s="22"/>
      <c r="G123" s="22"/>
      <c r="H123" s="22"/>
      <c r="I123" s="13"/>
      <c r="J123" s="13"/>
      <c r="K123" s="22"/>
      <c r="L123" s="13"/>
    </row>
    <row r="124" spans="2:12">
      <c r="B124" s="6"/>
      <c r="C124" s="15"/>
      <c r="D124" s="14"/>
      <c r="E124" s="13"/>
      <c r="F124" s="22"/>
      <c r="G124" s="22"/>
      <c r="H124" s="22"/>
      <c r="I124" s="13"/>
      <c r="J124" s="13"/>
      <c r="K124" s="22"/>
      <c r="L124" s="13"/>
    </row>
    <row r="125" spans="2:12">
      <c r="B125" s="6"/>
      <c r="C125" s="32"/>
      <c r="D125" s="14"/>
      <c r="E125" s="13"/>
      <c r="F125" s="22"/>
      <c r="G125" s="22"/>
      <c r="H125" s="22"/>
      <c r="I125" s="13"/>
      <c r="J125" s="13"/>
      <c r="K125" s="22"/>
      <c r="L125" s="13"/>
    </row>
    <row r="126" spans="2:12">
      <c r="B126" s="6"/>
      <c r="C126" s="32"/>
      <c r="D126" s="14"/>
      <c r="E126" s="13"/>
      <c r="F126" s="22"/>
      <c r="G126" s="22"/>
      <c r="H126" s="22"/>
      <c r="I126" s="13"/>
      <c r="J126" s="13"/>
      <c r="K126" s="22"/>
      <c r="L126" s="13"/>
    </row>
    <row r="127" spans="2:12">
      <c r="B127" s="6"/>
      <c r="C127" s="32"/>
      <c r="D127" s="14"/>
      <c r="E127" s="13"/>
      <c r="F127" s="22"/>
      <c r="G127" s="22"/>
      <c r="H127" s="22"/>
      <c r="I127" s="13"/>
      <c r="J127" s="13"/>
      <c r="K127" s="22"/>
      <c r="L127" s="13"/>
    </row>
    <row r="128" spans="2:12">
      <c r="B128" s="6"/>
      <c r="C128" s="32"/>
      <c r="D128" s="14"/>
      <c r="E128" s="13"/>
      <c r="F128" s="22"/>
      <c r="G128" s="22"/>
      <c r="H128" s="22"/>
      <c r="I128" s="13"/>
      <c r="J128" s="13"/>
      <c r="K128" s="22"/>
      <c r="L128" s="13"/>
    </row>
    <row r="129" spans="2:12">
      <c r="B129" s="6"/>
      <c r="C129" s="32"/>
      <c r="D129" s="14"/>
      <c r="E129" s="13"/>
      <c r="F129" s="22"/>
      <c r="G129" s="22"/>
      <c r="H129" s="22"/>
      <c r="I129" s="13"/>
      <c r="J129" s="13"/>
      <c r="K129" s="22"/>
      <c r="L129" s="13"/>
    </row>
    <row r="130" spans="2:12">
      <c r="B130" s="6"/>
      <c r="C130" s="32"/>
      <c r="D130" s="14"/>
      <c r="E130" s="13"/>
      <c r="F130" s="22"/>
      <c r="G130" s="22"/>
      <c r="H130" s="22"/>
      <c r="I130" s="13"/>
      <c r="J130" s="13"/>
      <c r="K130" s="22"/>
      <c r="L130" s="13"/>
    </row>
    <row r="131" spans="2:12">
      <c r="B131" s="6"/>
      <c r="C131" s="32"/>
      <c r="D131" s="14"/>
      <c r="E131" s="13"/>
      <c r="F131" s="22"/>
      <c r="G131" s="22"/>
      <c r="H131" s="22"/>
      <c r="I131" s="13"/>
      <c r="J131" s="13"/>
      <c r="K131" s="22"/>
      <c r="L131" s="13"/>
    </row>
    <row r="132" spans="2:12">
      <c r="B132" s="6"/>
      <c r="C132" s="32"/>
      <c r="D132" s="14"/>
      <c r="E132" s="13"/>
      <c r="F132" s="22"/>
      <c r="G132" s="22"/>
      <c r="H132" s="22"/>
      <c r="I132" s="13"/>
      <c r="J132" s="13"/>
      <c r="K132" s="22"/>
      <c r="L132" s="13"/>
    </row>
    <row r="133" spans="2:12">
      <c r="B133" s="6"/>
      <c r="C133" s="32"/>
      <c r="D133" s="14"/>
      <c r="E133" s="13"/>
      <c r="F133" s="22"/>
      <c r="G133" s="22"/>
      <c r="H133" s="22"/>
      <c r="I133" s="13"/>
      <c r="J133" s="13"/>
      <c r="K133" s="22"/>
      <c r="L133" s="13"/>
    </row>
    <row r="134" spans="2:12">
      <c r="B134" s="6"/>
      <c r="C134" s="32"/>
      <c r="D134" s="14"/>
      <c r="E134" s="13"/>
      <c r="F134" s="22"/>
      <c r="G134" s="22"/>
      <c r="H134" s="22"/>
      <c r="I134" s="13"/>
      <c r="J134" s="13"/>
      <c r="K134" s="22"/>
      <c r="L134" s="13"/>
    </row>
    <row r="135" spans="2:12">
      <c r="B135" s="6"/>
      <c r="C135" s="32"/>
      <c r="D135" s="14"/>
      <c r="E135" s="13"/>
      <c r="F135" s="22"/>
      <c r="G135" s="22"/>
      <c r="H135" s="22"/>
      <c r="I135" s="13"/>
      <c r="J135" s="13"/>
      <c r="K135" s="22"/>
      <c r="L135" s="13"/>
    </row>
    <row r="136" spans="2:12">
      <c r="B136" s="6"/>
      <c r="C136" s="32"/>
      <c r="D136" s="14"/>
      <c r="E136" s="13"/>
      <c r="F136" s="22"/>
      <c r="G136" s="22"/>
      <c r="H136" s="22"/>
      <c r="I136" s="13"/>
      <c r="J136" s="13"/>
      <c r="K136" s="22"/>
      <c r="L136" s="13"/>
    </row>
    <row r="137" spans="2:12">
      <c r="B137" s="6"/>
      <c r="C137" s="32"/>
      <c r="D137" s="14"/>
      <c r="E137" s="13"/>
      <c r="F137" s="22"/>
      <c r="G137" s="22"/>
      <c r="H137" s="22"/>
      <c r="I137" s="13"/>
      <c r="J137" s="13"/>
      <c r="K137" s="22"/>
      <c r="L137" s="13"/>
    </row>
    <row r="138" spans="2:12">
      <c r="B138" s="6"/>
      <c r="C138" s="32"/>
      <c r="D138" s="14"/>
      <c r="E138" s="13"/>
      <c r="F138" s="22"/>
      <c r="G138" s="22"/>
      <c r="H138" s="22"/>
      <c r="I138" s="13"/>
      <c r="J138" s="13"/>
      <c r="K138" s="22"/>
      <c r="L138" s="13"/>
    </row>
    <row r="139" spans="2:12">
      <c r="B139" s="6"/>
      <c r="C139" s="32"/>
      <c r="D139" s="14"/>
      <c r="E139" s="13"/>
      <c r="F139" s="22"/>
      <c r="G139" s="22"/>
      <c r="H139" s="22"/>
      <c r="I139" s="13"/>
      <c r="J139" s="13"/>
      <c r="K139" s="22"/>
      <c r="L139" s="13"/>
    </row>
    <row r="140" spans="2:12">
      <c r="B140" s="6"/>
      <c r="C140" s="32"/>
      <c r="D140" s="14"/>
      <c r="E140" s="13"/>
      <c r="F140" s="22"/>
      <c r="G140" s="22"/>
      <c r="H140" s="22"/>
      <c r="I140" s="13"/>
      <c r="J140" s="13"/>
      <c r="K140" s="22"/>
      <c r="L140" s="13"/>
    </row>
    <row r="141" spans="2:12">
      <c r="B141" s="6"/>
      <c r="C141" s="32"/>
      <c r="D141" s="14"/>
      <c r="E141" s="13"/>
      <c r="F141" s="22"/>
      <c r="G141" s="22"/>
      <c r="H141" s="22"/>
      <c r="I141" s="13"/>
      <c r="J141" s="13"/>
      <c r="K141" s="22"/>
      <c r="L141" s="13"/>
    </row>
    <row r="142" spans="2:12">
      <c r="B142" s="6"/>
      <c r="C142" s="32"/>
      <c r="D142" s="14"/>
      <c r="E142" s="13"/>
      <c r="F142" s="22"/>
      <c r="G142" s="22"/>
      <c r="H142" s="22"/>
      <c r="I142" s="13"/>
      <c r="J142" s="13"/>
      <c r="K142" s="22"/>
      <c r="L142" s="13"/>
    </row>
    <row r="143" spans="2:12">
      <c r="B143" s="6"/>
      <c r="C143" s="32"/>
      <c r="D143" s="14"/>
      <c r="E143" s="13"/>
      <c r="F143" s="22"/>
      <c r="G143" s="22"/>
      <c r="H143" s="22"/>
      <c r="I143" s="13"/>
      <c r="J143" s="13"/>
      <c r="K143" s="22"/>
      <c r="L143" s="13"/>
    </row>
    <row r="144" spans="2:12">
      <c r="B144" s="6"/>
      <c r="C144" s="32"/>
      <c r="D144" s="14"/>
      <c r="E144" s="13"/>
      <c r="F144" s="22"/>
      <c r="G144" s="22"/>
      <c r="H144" s="22"/>
      <c r="I144" s="13"/>
      <c r="J144" s="13"/>
      <c r="K144" s="22"/>
      <c r="L144" s="13"/>
    </row>
    <row r="145" spans="2:12">
      <c r="B145" s="6"/>
      <c r="C145" s="32"/>
      <c r="D145" s="14"/>
      <c r="E145" s="13"/>
      <c r="F145" s="22"/>
      <c r="G145" s="22"/>
      <c r="H145" s="22"/>
      <c r="I145" s="13"/>
      <c r="J145" s="13"/>
      <c r="K145" s="22"/>
      <c r="L145" s="13"/>
    </row>
    <row r="146" spans="2:12">
      <c r="B146" s="6"/>
      <c r="C146" s="32"/>
      <c r="D146" s="14"/>
      <c r="E146" s="13"/>
      <c r="F146" s="22"/>
      <c r="G146" s="22"/>
      <c r="H146" s="22"/>
      <c r="I146" s="13"/>
      <c r="J146" s="13"/>
      <c r="K146" s="22"/>
      <c r="L146" s="13"/>
    </row>
    <row r="147" spans="2:12">
      <c r="B147" s="6"/>
      <c r="C147" s="32"/>
      <c r="D147" s="14"/>
      <c r="E147" s="13"/>
      <c r="F147" s="22"/>
      <c r="G147" s="22"/>
      <c r="H147" s="22"/>
      <c r="I147" s="13"/>
      <c r="J147" s="13"/>
      <c r="K147" s="22"/>
      <c r="L147" s="13"/>
    </row>
    <row r="148" spans="2:12">
      <c r="B148" s="6"/>
      <c r="C148" s="32"/>
      <c r="D148" s="14"/>
      <c r="E148" s="13"/>
      <c r="F148" s="22"/>
      <c r="G148" s="22"/>
      <c r="H148" s="22"/>
      <c r="I148" s="13"/>
      <c r="J148" s="13"/>
      <c r="K148" s="22"/>
      <c r="L148" s="13"/>
    </row>
    <row r="149" spans="2:12">
      <c r="B149" s="6"/>
      <c r="C149" s="32"/>
      <c r="D149" s="14"/>
      <c r="E149" s="13"/>
      <c r="F149" s="22"/>
      <c r="G149" s="22"/>
      <c r="H149" s="22"/>
      <c r="I149" s="13"/>
      <c r="J149" s="13"/>
      <c r="K149" s="22"/>
      <c r="L149" s="13"/>
    </row>
    <row r="150" spans="2:12">
      <c r="B150" s="6"/>
      <c r="C150" s="32"/>
      <c r="D150" s="14"/>
      <c r="E150" s="13"/>
      <c r="F150" s="22"/>
      <c r="G150" s="22"/>
      <c r="H150" s="22"/>
      <c r="I150" s="13"/>
      <c r="J150" s="13"/>
      <c r="K150" s="22"/>
      <c r="L150" s="13"/>
    </row>
    <row r="151" spans="2:12">
      <c r="B151" s="6"/>
      <c r="C151" s="32"/>
      <c r="D151" s="14"/>
      <c r="E151" s="13"/>
      <c r="F151" s="22"/>
      <c r="G151" s="22"/>
      <c r="H151" s="22"/>
      <c r="I151" s="13"/>
      <c r="J151" s="13"/>
      <c r="K151" s="22"/>
      <c r="L151" s="13"/>
    </row>
    <row r="152" spans="2:12">
      <c r="B152" s="6"/>
      <c r="C152" s="32"/>
      <c r="D152" s="14"/>
      <c r="E152" s="13"/>
      <c r="F152" s="22"/>
      <c r="G152" s="22"/>
      <c r="H152" s="22"/>
      <c r="I152" s="13"/>
      <c r="J152" s="13"/>
      <c r="K152" s="22"/>
      <c r="L152" s="13"/>
    </row>
    <row r="153" spans="2:12">
      <c r="B153" s="6"/>
      <c r="C153" s="32"/>
      <c r="D153" s="14"/>
      <c r="E153" s="13"/>
      <c r="F153" s="22"/>
      <c r="G153" s="22"/>
      <c r="H153" s="22"/>
      <c r="I153" s="13"/>
      <c r="J153" s="13"/>
      <c r="K153" s="22"/>
      <c r="L153" s="13"/>
    </row>
    <row r="154" spans="2:12">
      <c r="B154" s="6"/>
      <c r="C154" s="32"/>
      <c r="D154" s="14"/>
      <c r="E154" s="13"/>
      <c r="F154" s="22"/>
      <c r="G154" s="22"/>
      <c r="H154" s="22"/>
      <c r="I154" s="13"/>
      <c r="J154" s="13"/>
      <c r="K154" s="22"/>
      <c r="L154" s="13"/>
    </row>
    <row r="155" spans="2:12">
      <c r="B155" s="6"/>
      <c r="C155" s="32"/>
      <c r="D155" s="14"/>
      <c r="E155" s="13"/>
      <c r="F155" s="22"/>
      <c r="G155" s="22"/>
      <c r="H155" s="22"/>
      <c r="I155" s="13"/>
      <c r="J155" s="13"/>
      <c r="K155" s="22"/>
      <c r="L155" s="13"/>
    </row>
    <row r="156" spans="2:12">
      <c r="B156" s="6"/>
      <c r="C156" s="32"/>
      <c r="D156" s="14"/>
      <c r="E156" s="13"/>
      <c r="F156" s="22"/>
      <c r="G156" s="22"/>
      <c r="H156" s="22"/>
      <c r="I156" s="13"/>
      <c r="J156" s="13"/>
      <c r="K156" s="22"/>
      <c r="L156" s="13"/>
    </row>
    <row r="157" spans="2:12">
      <c r="B157" s="6"/>
      <c r="C157" s="32"/>
      <c r="D157" s="14"/>
      <c r="E157" s="13"/>
      <c r="F157" s="22"/>
      <c r="G157" s="22"/>
      <c r="H157" s="22"/>
      <c r="I157" s="13"/>
      <c r="J157" s="13"/>
      <c r="K157" s="22"/>
      <c r="L157" s="13"/>
    </row>
  </sheetData>
  <dataConsolidate/>
  <mergeCells count="2">
    <mergeCell ref="C3:D3"/>
    <mergeCell ref="C6:D6"/>
  </mergeCells>
  <dataValidations count="85">
    <dataValidation type="list" allowBlank="1" showInputMessage="1" showErrorMessage="1" sqref="K4 K8:K30 K32:K34">
      <formula1>$W$1:$W$8</formula1>
    </dataValidation>
    <dataValidation type="list" allowBlank="1" showInputMessage="1" sqref="F78:F103 F27:F29 F4">
      <formula1>$X$1:$X$11</formula1>
    </dataValidation>
    <dataValidation type="list" allowBlank="1" showInputMessage="1" sqref="F74:F77 F26">
      <formula1>$X$1:$X$10</formula1>
    </dataValidation>
    <dataValidation type="list" allowBlank="1" showInputMessage="1" sqref="E35">
      <formula1>$T$1:$T$6</formula1>
    </dataValidation>
    <dataValidation type="list" allowBlank="1" showInputMessage="1" sqref="F51:F73 F32:F34 F21:F25 F30">
      <formula1>$X$1:$X$9</formula1>
    </dataValidation>
    <dataValidation type="list" allowBlank="1" showInputMessage="1" sqref="H32:H34 H30 H23">
      <formula1>$V$1:$V$12</formula1>
    </dataValidation>
    <dataValidation type="list" allowBlank="1" showInputMessage="1" sqref="F48:F50 F19:F20">
      <formula1>$X$1:$X$8</formula1>
    </dataValidation>
    <dataValidation type="list" allowBlank="1" showInputMessage="1" sqref="F35:F47 F18">
      <formula1>$X$1:$X$7</formula1>
    </dataValidation>
    <dataValidation type="list" allowBlank="1" showInputMessage="1" sqref="H146:H157">
      <formula1>$V$1:$V$61</formula1>
    </dataValidation>
    <dataValidation type="list" allowBlank="1" showInputMessage="1" sqref="E32:E34 E40:E83 E30 E8:E11">
      <formula1>$T$1:$T$7</formula1>
    </dataValidation>
    <dataValidation type="list" allowBlank="1" showInputMessage="1" showErrorMessage="1" sqref="K35:K157">
      <formula1>$W$1:$W$5</formula1>
    </dataValidation>
    <dataValidation type="list" allowBlank="1" showInputMessage="1" sqref="H35:H40">
      <formula1>$V$1:$V$22</formula1>
    </dataValidation>
    <dataValidation type="list" allowBlank="1" showInputMessage="1" sqref="G35:G37">
      <formula1>$U$1:$U$10</formula1>
    </dataValidation>
    <dataValidation type="list" allowBlank="1" showInputMessage="1" sqref="F104:F157">
      <formula1>$X$1:$X$12</formula1>
    </dataValidation>
    <dataValidation type="list" allowBlank="1" showInputMessage="1" sqref="G143:G157">
      <formula1>$U$1:$U$21</formula1>
    </dataValidation>
    <dataValidation type="list" allowBlank="1" showInputMessage="1" sqref="E87:E157">
      <formula1>$T$1:$T$9</formula1>
    </dataValidation>
    <dataValidation type="list" allowBlank="1" showInputMessage="1" sqref="H144:H145">
      <formula1>$V$1:$V$60</formula1>
    </dataValidation>
    <dataValidation type="list" allowBlank="1" showInputMessage="1" sqref="H140:H143">
      <formula1>$V$1:$V$59</formula1>
    </dataValidation>
    <dataValidation type="list" allowBlank="1" showInputMessage="1" sqref="G112:G142">
      <formula1>$U$1:$U$20</formula1>
    </dataValidation>
    <dataValidation type="list" allowBlank="1" showInputMessage="1" sqref="H135:H139">
      <formula1>$V$1:$V$58</formula1>
    </dataValidation>
    <dataValidation type="list" allowBlank="1" showInputMessage="1" sqref="H134">
      <formula1>$V$1:$V$57</formula1>
    </dataValidation>
    <dataValidation type="list" allowBlank="1" showInputMessage="1" sqref="H131:H133">
      <formula1>$V$1:$V$56</formula1>
    </dataValidation>
    <dataValidation type="list" allowBlank="1" showInputMessage="1" sqref="H128:H130">
      <formula1>$V$1:$V$55</formula1>
    </dataValidation>
    <dataValidation type="list" allowBlank="1" showInputMessage="1" sqref="H127">
      <formula1>$V$1:$V$54</formula1>
    </dataValidation>
    <dataValidation type="list" allowBlank="1" showInputMessage="1" sqref="H122:H126">
      <formula1>$V$1:$V$53</formula1>
    </dataValidation>
    <dataValidation type="list" allowBlank="1" showInputMessage="1" sqref="H121">
      <formula1>$V$1:$V$52</formula1>
    </dataValidation>
    <dataValidation type="list" allowBlank="1" showInputMessage="1" sqref="H110:H120">
      <formula1>$V$1:$V$51</formula1>
    </dataValidation>
    <dataValidation type="list" allowBlank="1" showInputMessage="1" sqref="G110:G111">
      <formula1>$U$1:$U$19</formula1>
    </dataValidation>
    <dataValidation type="list" allowBlank="1" showInputMessage="1" sqref="G109">
      <formula1>$U$1:$U$18</formula1>
    </dataValidation>
    <dataValidation type="list" allowBlank="1" showInputMessage="1" sqref="H109">
      <formula1>$V$1:$V$50</formula1>
    </dataValidation>
    <dataValidation type="list" allowBlank="1" showInputMessage="1" sqref="G102:G108">
      <formula1>$U$1:$U$17</formula1>
    </dataValidation>
    <dataValidation type="list" allowBlank="1" showInputMessage="1" sqref="H106:H108">
      <formula1>$V$1:$V$49</formula1>
    </dataValidation>
    <dataValidation type="list" allowBlank="1" showInputMessage="1" sqref="H105">
      <formula1>$V$1:$V$48</formula1>
    </dataValidation>
    <dataValidation type="list" allowBlank="1" showInputMessage="1" sqref="H104">
      <formula1>$V$1:$V$47</formula1>
    </dataValidation>
    <dataValidation type="list" allowBlank="1" showInputMessage="1" sqref="H103">
      <formula1>$V$1:$V$46</formula1>
    </dataValidation>
    <dataValidation type="list" allowBlank="1" showInputMessage="1" sqref="H99:H102">
      <formula1>$V$1:$V$45</formula1>
    </dataValidation>
    <dataValidation type="list" allowBlank="1" showInputMessage="1" sqref="G72:G101">
      <formula1>$U$1:$U$16</formula1>
    </dataValidation>
    <dataValidation type="list" allowBlank="1" showInputMessage="1" sqref="H98">
      <formula1>$V$1:$V$44</formula1>
    </dataValidation>
    <dataValidation type="list" allowBlank="1" showInputMessage="1" sqref="H93:H97">
      <formula1>$V$1:$V$43</formula1>
    </dataValidation>
    <dataValidation type="list" allowBlank="1" showInputMessage="1" sqref="H91:H92">
      <formula1>$V$1:$V$42</formula1>
    </dataValidation>
    <dataValidation type="list" allowBlank="1" showInputMessage="1" sqref="H89:H90">
      <formula1>$V$1:$V$41</formula1>
    </dataValidation>
    <dataValidation type="list" allowBlank="1" showInputMessage="1" sqref="H88">
      <formula1>$V$1:$V$40</formula1>
    </dataValidation>
    <dataValidation type="list" allowBlank="1" showInputMessage="1" sqref="H87">
      <formula1>$V$1:$V$39</formula1>
    </dataValidation>
    <dataValidation type="list" allowBlank="1" showInputMessage="1" sqref="H78:H86">
      <formula1>$V$1:$V$38</formula1>
    </dataValidation>
    <dataValidation type="list" allowBlank="1" showInputMessage="1" sqref="E84:E86">
      <formula1>$T$1:$T$8</formula1>
    </dataValidation>
    <dataValidation type="list" allowBlank="1" showInputMessage="1" sqref="H75:H77">
      <formula1>$V$1:$V$37</formula1>
    </dataValidation>
    <dataValidation type="list" allowBlank="1" showInputMessage="1" sqref="H74">
      <formula1>$V$1:$V$36</formula1>
    </dataValidation>
    <dataValidation type="list" allowBlank="1" showInputMessage="1" sqref="H73">
      <formula1>$V$1:$V$35</formula1>
    </dataValidation>
    <dataValidation type="list" allowBlank="1" showInputMessage="1" sqref="H72">
      <formula1>$V$1:$V$34</formula1>
    </dataValidation>
    <dataValidation type="list" allowBlank="1" showInputMessage="1" sqref="G54:G71">
      <formula1>$U$1:$U$15</formula1>
    </dataValidation>
    <dataValidation type="list" allowBlank="1" showInputMessage="1" sqref="H63:H71">
      <formula1>$V$1:$V$33</formula1>
    </dataValidation>
    <dataValidation type="list" allowBlank="1" showInputMessage="1" sqref="H61:H62">
      <formula1>$V$1:$V$32</formula1>
    </dataValidation>
    <dataValidation type="list" allowBlank="1" showInputMessage="1" sqref="H57:H60">
      <formula1>$V$1:$V$31</formula1>
    </dataValidation>
    <dataValidation type="list" allowBlank="1" showInputMessage="1" sqref="H56">
      <formula1>$V$1:$V$30</formula1>
    </dataValidation>
    <dataValidation type="list" allowBlank="1" showInputMessage="1" sqref="H55">
      <formula1>$V$1:$V$29</formula1>
    </dataValidation>
    <dataValidation type="list" allowBlank="1" showInputMessage="1" sqref="H51:H54">
      <formula1>$V$1:$V$28</formula1>
    </dataValidation>
    <dataValidation type="list" allowBlank="1" showInputMessage="1" sqref="G53">
      <formula1>$U$1:$U$14</formula1>
    </dataValidation>
    <dataValidation type="list" allowBlank="1" showInputMessage="1" sqref="G45:G52">
      <formula1>$U$1:$U$13</formula1>
    </dataValidation>
    <dataValidation type="list" allowBlank="1" showInputMessage="1" sqref="H48:H50">
      <formula1>$V$1:$V$27</formula1>
    </dataValidation>
    <dataValidation type="list" allowBlank="1" showInputMessage="1" sqref="H45:H47">
      <formula1>$V$1:$V$26</formula1>
    </dataValidation>
    <dataValidation type="list" allowBlank="1" showInputMessage="1" sqref="G40:G44">
      <formula1>$U$1:$U$12</formula1>
    </dataValidation>
    <dataValidation type="list" allowBlank="1" showInputMessage="1" sqref="H44">
      <formula1>$V$1:$V$25</formula1>
    </dataValidation>
    <dataValidation type="list" allowBlank="1" showInputMessage="1" sqref="H43">
      <formula1>$V$1:$V$24</formula1>
    </dataValidation>
    <dataValidation type="list" allowBlank="1" showInputMessage="1" sqref="H41:H42">
      <formula1>$V$1:$V$23</formula1>
    </dataValidation>
    <dataValidation type="list" allowBlank="1" showInputMessage="1" sqref="G38:G39">
      <formula1>$U$1:$U$11</formula1>
    </dataValidation>
    <dataValidation type="list" allowBlank="1" showInputMessage="1" sqref="E4 E12:E29">
      <formula1>$T$1:$T$5</formula1>
    </dataValidation>
    <dataValidation type="list" allowBlank="1" showInputMessage="1" sqref="H4 H29">
      <formula1>$V$1:$V$18</formula1>
    </dataValidation>
    <dataValidation type="list" allowBlank="1" showInputMessage="1" sqref="H28">
      <formula1>$V$1:$V$17</formula1>
    </dataValidation>
    <dataValidation type="list" allowBlank="1" showInputMessage="1" sqref="H27">
      <formula1>$V$1:$V$16</formula1>
    </dataValidation>
    <dataValidation type="list" allowBlank="1" showInputMessage="1" sqref="H19:H22">
      <formula1>$V$1:$V$11</formula1>
    </dataValidation>
    <dataValidation type="list" allowBlank="1" showInputMessage="1" sqref="H26">
      <formula1>$V$1:$V$15</formula1>
    </dataValidation>
    <dataValidation type="list" allowBlank="1" showInputMessage="1" sqref="H17:H18">
      <formula1>$V$1:$V$10</formula1>
    </dataValidation>
    <dataValidation type="list" allowBlank="1" showInputMessage="1" sqref="H25">
      <formula1>$V$1:$V$14</formula1>
    </dataValidation>
    <dataValidation type="list" allowBlank="1" showInputMessage="1" sqref="H24">
      <formula1>$V$1:$V$13</formula1>
    </dataValidation>
    <dataValidation type="list" allowBlank="1" showInputMessage="1" sqref="H16">
      <formula1>$V$1:$V$9</formula1>
    </dataValidation>
    <dataValidation type="list" allowBlank="1" showInputMessage="1" sqref="H14">
      <formula1>$V$1:$V$7</formula1>
    </dataValidation>
    <dataValidation type="list" allowBlank="1" showInputMessage="1" sqref="H13">
      <formula1>$V$1:$V$6</formula1>
    </dataValidation>
    <dataValidation type="list" allowBlank="1" showInputMessage="1" sqref="F16:F17">
      <formula1>$X$1:$X$6</formula1>
    </dataValidation>
    <dataValidation type="list" allowBlank="1" showInputMessage="1" sqref="H12">
      <formula1>$V$1:$V$5</formula1>
    </dataValidation>
    <dataValidation type="list" allowBlank="1" showInputMessage="1" sqref="H11">
      <formula1>$V$1:$V$4</formula1>
    </dataValidation>
    <dataValidation type="list" allowBlank="1" showInputMessage="1" sqref="F8:F15">
      <formula1>$X$1:$X$1</formula1>
    </dataValidation>
    <dataValidation type="list" allowBlank="1" showInputMessage="1" sqref="H15">
      <formula1>$V$1:$V$8</formula1>
    </dataValidation>
    <dataValidation type="list" allowBlank="1" showInputMessage="1" sqref="H10">
      <formula1>$V$1:$V$3</formula1>
    </dataValidation>
    <dataValidation type="list" allowBlank="1" showInputMessage="1" sqref="H9">
      <formula1>$V$1:$V$2</formula1>
    </dataValidation>
    <dataValidation type="list" allowBlank="1" showInputMessage="1" sqref="H8">
      <formula1>$V$1:$V$1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H19" sqref="H19"/>
    </sheetView>
  </sheetViews>
  <sheetFormatPr defaultRowHeight="15"/>
  <cols>
    <col min="2" max="2" width="11.140625" bestFit="1" customWidth="1"/>
    <col min="3" max="3" width="9.85546875" bestFit="1" customWidth="1"/>
    <col min="4" max="4" width="9" bestFit="1" customWidth="1"/>
    <col min="5" max="5" width="8.85546875" bestFit="1" customWidth="1"/>
    <col min="6" max="6" width="10.7109375" bestFit="1" customWidth="1"/>
    <col min="7" max="7" width="14.5703125" bestFit="1" customWidth="1"/>
    <col min="8" max="8" width="10.42578125" bestFit="1" customWidth="1"/>
    <col min="9" max="9" width="14.140625" bestFit="1" customWidth="1"/>
    <col min="10" max="10" width="10.42578125" bestFit="1" customWidth="1"/>
    <col min="20" max="20" width="15.28515625" customWidth="1"/>
  </cols>
  <sheetData>
    <row r="1" spans="1:24">
      <c r="A1" s="1">
        <v>4</v>
      </c>
      <c r="B1" s="1">
        <v>4</v>
      </c>
      <c r="C1" s="1">
        <v>45</v>
      </c>
      <c r="D1" s="1">
        <v>145</v>
      </c>
      <c r="J1" s="5">
        <f ca="1">TODAY()</f>
        <v>43887</v>
      </c>
      <c r="Q1" s="21"/>
      <c r="R1" s="21">
        <v>1</v>
      </c>
      <c r="S1" s="21"/>
      <c r="T1" s="21"/>
      <c r="U1" s="21" t="s">
        <v>74</v>
      </c>
      <c r="V1" s="21" t="s">
        <v>10</v>
      </c>
      <c r="W1" s="21"/>
      <c r="X1" s="21"/>
    </row>
    <row r="2" spans="1:24">
      <c r="A2" s="1">
        <v>12</v>
      </c>
      <c r="B2" s="1">
        <v>12</v>
      </c>
      <c r="D2" s="1" t="str">
        <f>IF((WEEKDAY(C2,2)=1),"Monday",IF((WEEKDAY(C2,2)=2),"Tuesday",IF((WEEKDAY(C2,2)=3),"Wednesday",IF((WEEKDAY(C2,2)=4),"Thursday",IF((WEEKDAY(C2,2)=5),"Friday",IF((WEEKDAY(C2,2)=6),"Saturday",IF((WEEKDAY(C2,2)=7),"Sunday","-")))))))</f>
        <v>Saturday</v>
      </c>
      <c r="Q2" s="21"/>
      <c r="R2" s="21">
        <v>1</v>
      </c>
      <c r="S2" s="21"/>
      <c r="T2" s="21"/>
      <c r="U2" s="21" t="s">
        <v>84</v>
      </c>
      <c r="V2" s="21" t="s">
        <v>11</v>
      </c>
      <c r="W2" s="21"/>
      <c r="X2" s="21"/>
    </row>
    <row r="3" spans="1:24">
      <c r="A3" s="1"/>
      <c r="B3" s="2" t="s">
        <v>17</v>
      </c>
      <c r="C3" s="47" t="s">
        <v>0</v>
      </c>
      <c r="D3" s="47"/>
      <c r="E3" s="10" t="s">
        <v>13</v>
      </c>
      <c r="F3" s="10" t="s">
        <v>2</v>
      </c>
      <c r="G3" s="10" t="s">
        <v>3</v>
      </c>
      <c r="H3" s="10" t="s">
        <v>4</v>
      </c>
      <c r="I3" s="10" t="s">
        <v>5</v>
      </c>
      <c r="J3" s="10" t="s">
        <v>6</v>
      </c>
      <c r="K3" s="11" t="s">
        <v>7</v>
      </c>
      <c r="Q3" s="21"/>
      <c r="R3" s="21">
        <v>3</v>
      </c>
      <c r="S3" s="21"/>
      <c r="T3" s="21"/>
      <c r="U3" s="21"/>
      <c r="V3" s="21" t="s">
        <v>14</v>
      </c>
      <c r="W3" s="21"/>
      <c r="X3" s="21"/>
    </row>
    <row r="4" spans="1:24">
      <c r="A4" s="1">
        <v>1</v>
      </c>
      <c r="C4" s="20"/>
      <c r="D4" s="19" t="str">
        <f>IF((WEEKDAY(C4,2)=1),"Monday",IF((WEEKDAY(C4,2)=2),"Tuesday",IF((WEEKDAY(C4,2)=3),"Wednesday",IF((WEEKDAY(C4,2)=4),"Thursday",IF((WEEKDAY(C4,2)=5),"Friday",IF((WEEKDAY(C4,2)=6),"Saturday",IF((WEEKDAY(C4,2)=7),"Sunday","-")))))))</f>
        <v>Saturday</v>
      </c>
      <c r="E4" s="18"/>
      <c r="F4" s="23"/>
      <c r="G4" s="18"/>
      <c r="H4" s="18"/>
      <c r="I4" s="18"/>
      <c r="J4" s="18"/>
      <c r="K4" s="7"/>
      <c r="Q4" s="21"/>
      <c r="R4" s="21"/>
      <c r="S4" s="21"/>
      <c r="T4" s="21"/>
      <c r="U4" s="21"/>
      <c r="V4" s="21" t="s">
        <v>45</v>
      </c>
      <c r="W4" s="21"/>
      <c r="X4" s="21"/>
    </row>
    <row r="5" spans="1:24">
      <c r="A5" s="1">
        <v>1</v>
      </c>
      <c r="Q5" s="21"/>
      <c r="R5" s="21"/>
      <c r="S5" s="21"/>
      <c r="T5" s="21"/>
      <c r="U5" s="21"/>
      <c r="V5" s="21" t="s">
        <v>15</v>
      </c>
      <c r="W5" s="21"/>
      <c r="X5" s="21"/>
    </row>
    <row r="6" spans="1:24">
      <c r="A6" s="1">
        <v>3</v>
      </c>
      <c r="Q6" s="21"/>
      <c r="R6" s="21"/>
      <c r="S6" s="21"/>
      <c r="T6" s="21"/>
      <c r="U6" s="21"/>
      <c r="V6" s="21" t="s">
        <v>44</v>
      </c>
      <c r="W6" s="21"/>
      <c r="X6" s="21"/>
    </row>
    <row r="7" spans="1:24" ht="15.75" thickBot="1">
      <c r="A7" s="1"/>
      <c r="B7" s="26" t="s">
        <v>48</v>
      </c>
      <c r="C7" s="26" t="s">
        <v>49</v>
      </c>
      <c r="D7" s="26" t="s">
        <v>16</v>
      </c>
      <c r="E7" s="26" t="s">
        <v>13</v>
      </c>
      <c r="F7" s="26" t="s">
        <v>2</v>
      </c>
      <c r="G7" s="26" t="s">
        <v>50</v>
      </c>
      <c r="H7" s="26" t="s">
        <v>4</v>
      </c>
      <c r="I7" s="26" t="s">
        <v>51</v>
      </c>
      <c r="J7" s="26" t="s">
        <v>6</v>
      </c>
      <c r="K7" s="9" t="s">
        <v>9</v>
      </c>
      <c r="Q7" s="21"/>
      <c r="R7" s="21"/>
      <c r="S7" s="21"/>
      <c r="T7" s="21"/>
      <c r="U7" s="21"/>
      <c r="V7" s="21" t="s">
        <v>43</v>
      </c>
      <c r="W7" s="21"/>
      <c r="X7" s="21"/>
    </row>
    <row r="8" spans="1:24">
      <c r="B8" s="6">
        <v>1</v>
      </c>
      <c r="C8" s="15">
        <v>43514</v>
      </c>
      <c r="D8" s="14" t="str">
        <f>IF((WEEKDAY(C8,2)=1),"Monday",IF((WEEKDAY(C8,2)=2),"Tuesday",IF((WEEKDAY(C8,2)=3),"Wednesday",IF((WEEKDAY(C8,2)=4),"Thursday",IF((WEEKDAY(C8,2)=5),"Friday",IF((WEEKDAY(C8,2)=6),"Saturday",IF((WEEKDAY(C8,2)=7),"Sunday","-")))))))</f>
        <v>Monday</v>
      </c>
      <c r="E8" s="13"/>
      <c r="F8" s="22"/>
      <c r="G8" s="13" t="s">
        <v>74</v>
      </c>
      <c r="H8" s="13">
        <v>444.92</v>
      </c>
      <c r="I8" s="41" t="s">
        <v>43</v>
      </c>
      <c r="J8" s="13"/>
      <c r="Q8" s="21"/>
      <c r="R8" s="21"/>
      <c r="S8" s="21"/>
      <c r="T8" s="21"/>
      <c r="U8" s="21"/>
      <c r="V8" s="21"/>
      <c r="W8" s="21"/>
      <c r="X8" s="21"/>
    </row>
    <row r="9" spans="1:24">
      <c r="B9" s="6">
        <v>2</v>
      </c>
      <c r="C9" s="15">
        <v>43514</v>
      </c>
      <c r="D9" s="14" t="str">
        <f>IF((WEEKDAY(C9,2)=1),"Monday",IF((WEEKDAY(C9,2)=2),"Tuesday",IF((WEEKDAY(C9,2)=3),"Wednesday",IF((WEEKDAY(C9,2)=4),"Thursday",IF((WEEKDAY(C9,2)=5),"Friday",IF((WEEKDAY(C9,2)=6),"Saturday",IF((WEEKDAY(C9,2)=7),"Sunday","-")))))))</f>
        <v>Monday</v>
      </c>
      <c r="E9" s="13"/>
      <c r="F9" s="22"/>
      <c r="G9" s="13" t="s">
        <v>74</v>
      </c>
      <c r="H9" s="13">
        <v>516.16</v>
      </c>
      <c r="I9" s="39" t="s">
        <v>44</v>
      </c>
      <c r="J9" s="13"/>
      <c r="Q9" s="21"/>
      <c r="R9" s="21"/>
      <c r="S9" s="21"/>
      <c r="T9" s="21"/>
      <c r="U9" s="21"/>
      <c r="V9" s="21"/>
      <c r="W9" s="21"/>
      <c r="X9" s="21"/>
    </row>
    <row r="10" spans="1:24">
      <c r="B10" s="6">
        <v>3</v>
      </c>
      <c r="C10" s="15">
        <v>43514</v>
      </c>
      <c r="D10" s="14" t="str">
        <f>IF((WEEKDAY(C10,2)=1),"Monday",IF((WEEKDAY(C10,2)=2),"Tuesday",IF((WEEKDAY(C10,2)=3),"Wednesday",IF((WEEKDAY(C10,2)=4),"Thursday",IF((WEEKDAY(C10,2)=5),"Friday",IF((WEEKDAY(C10,2)=6),"Saturday",IF((WEEKDAY(C10,2)=7),"Sunday","-")))))))</f>
        <v>Monday</v>
      </c>
      <c r="E10" s="13"/>
      <c r="F10" s="22"/>
      <c r="G10" s="13" t="s">
        <v>74</v>
      </c>
      <c r="H10" s="13">
        <v>32177.98</v>
      </c>
      <c r="I10" s="37" t="s">
        <v>45</v>
      </c>
      <c r="J10" s="13"/>
      <c r="Q10" s="21"/>
      <c r="R10" s="21"/>
      <c r="S10" s="21"/>
      <c r="T10" s="21"/>
      <c r="U10" s="21"/>
      <c r="V10" s="21"/>
      <c r="W10" s="21"/>
      <c r="X10" s="21"/>
    </row>
    <row r="11" spans="1:24">
      <c r="B11" s="6">
        <v>4</v>
      </c>
      <c r="C11" s="15">
        <v>43519</v>
      </c>
      <c r="D11" s="14" t="str">
        <f>IF((WEEKDAY(C11,2)=1),"Monday",IF((WEEKDAY(C11,2)=2),"Tuesday",IF((WEEKDAY(C11,2)=3),"Wednesday",IF((WEEKDAY(C11,2)=4),"Thursday",IF((WEEKDAY(C11,2)=5),"Friday",IF((WEEKDAY(C11,2)=6),"Saturday",IF((WEEKDAY(C11,2)=7),"Sunday","-")))))))</f>
        <v>Saturday</v>
      </c>
      <c r="E11" s="13"/>
      <c r="F11" s="22"/>
      <c r="G11" s="13" t="s">
        <v>84</v>
      </c>
      <c r="H11" s="13">
        <v>2.0099999999999998</v>
      </c>
      <c r="I11" s="41" t="s">
        <v>43</v>
      </c>
      <c r="J11" s="13"/>
      <c r="Q11" s="21"/>
      <c r="R11" s="21"/>
      <c r="S11" s="21"/>
      <c r="T11" s="21"/>
      <c r="U11" s="21"/>
      <c r="V11" s="21"/>
      <c r="W11" s="21"/>
      <c r="X11" s="21"/>
    </row>
    <row r="12" spans="1:24">
      <c r="B12" s="6"/>
      <c r="C12" s="16"/>
      <c r="D12" s="46" t="str">
        <f>IF((WEEKDAY(C12,2)=1),"Monday",IF((WEEKDAY(C12,2)=2),"Tuesday",IF((WEEKDAY(C12,2)=3),"Wednesday",IF((WEEKDAY(C12,2)=4),"Thursday",IF((WEEKDAY(C12,2)=5),"Friday",IF((WEEKDAY(C12,2)=6),"Saturday",IF((WEEKDAY(C12,2)=7),"Sunday","-")))))))</f>
        <v>Saturday</v>
      </c>
      <c r="E12" s="17"/>
      <c r="F12" s="45"/>
      <c r="G12" s="17"/>
      <c r="H12" s="17"/>
      <c r="I12" s="42"/>
      <c r="J12" s="30"/>
      <c r="Q12" s="21"/>
      <c r="R12" s="21"/>
      <c r="S12" s="21"/>
      <c r="T12" s="21"/>
      <c r="U12" s="21"/>
      <c r="V12" s="21"/>
      <c r="W12" s="21"/>
      <c r="X12" s="21"/>
    </row>
    <row r="13" spans="1:24">
      <c r="B13" s="2"/>
      <c r="C13" s="2"/>
      <c r="D13" s="2"/>
      <c r="E13" s="2"/>
      <c r="F13" s="2"/>
      <c r="G13" s="2"/>
      <c r="H13" s="2">
        <f>SUBTOTAL(109,[Amount])</f>
        <v>33141.07</v>
      </c>
      <c r="I13" s="2"/>
      <c r="J13" s="2"/>
      <c r="Q13" s="21"/>
      <c r="R13" s="21"/>
      <c r="S13" s="21"/>
      <c r="T13" s="21"/>
      <c r="U13" s="21"/>
      <c r="V13" s="21"/>
      <c r="W13" s="21"/>
      <c r="X13" s="21"/>
    </row>
    <row r="14" spans="1:24">
      <c r="B14" s="6"/>
      <c r="C14" s="15"/>
      <c r="D14" s="14"/>
      <c r="E14" s="13"/>
      <c r="F14" s="22"/>
      <c r="G14" s="13"/>
      <c r="H14" s="13"/>
      <c r="I14" s="13"/>
      <c r="J14" s="29"/>
      <c r="Q14" s="21"/>
      <c r="R14" s="21"/>
      <c r="S14" s="21"/>
      <c r="T14" s="21"/>
      <c r="U14" s="21"/>
      <c r="V14" s="21"/>
      <c r="W14" s="21"/>
      <c r="X14" s="21"/>
    </row>
    <row r="15" spans="1:24">
      <c r="B15" s="6"/>
      <c r="C15" s="15"/>
      <c r="D15" s="14"/>
      <c r="E15" s="13"/>
      <c r="F15" s="22"/>
      <c r="G15" s="13"/>
      <c r="H15" s="13"/>
      <c r="I15" s="13"/>
      <c r="J15" s="29"/>
      <c r="Q15" s="21"/>
      <c r="R15" s="21"/>
      <c r="S15" s="21"/>
      <c r="T15" s="21"/>
      <c r="U15" s="21"/>
      <c r="V15" s="21"/>
      <c r="W15" s="21"/>
      <c r="X15" s="21"/>
    </row>
    <row r="16" spans="1:24">
      <c r="B16" s="6"/>
      <c r="C16" s="15"/>
      <c r="D16" s="14"/>
      <c r="E16" s="13"/>
      <c r="F16" s="22"/>
      <c r="G16" s="13"/>
      <c r="H16" s="13"/>
      <c r="I16" s="13"/>
      <c r="J16" s="29"/>
      <c r="Q16" s="21"/>
      <c r="R16" s="21"/>
      <c r="S16" s="21"/>
      <c r="T16" s="21"/>
      <c r="U16" s="21"/>
      <c r="V16" s="21"/>
      <c r="W16" s="21"/>
      <c r="X16" s="21"/>
    </row>
    <row r="17" spans="2:24">
      <c r="B17" s="6"/>
      <c r="C17" s="15"/>
      <c r="D17" s="14"/>
      <c r="E17" s="13"/>
      <c r="F17" s="22"/>
      <c r="G17" s="13"/>
      <c r="H17" s="13"/>
      <c r="I17" s="13"/>
      <c r="J17" s="29"/>
      <c r="Q17" s="21"/>
      <c r="R17" s="21"/>
      <c r="S17" s="21"/>
      <c r="T17" s="21"/>
      <c r="U17" s="21"/>
      <c r="V17" s="21"/>
      <c r="W17" s="21"/>
      <c r="X17" s="21"/>
    </row>
    <row r="18" spans="2:24">
      <c r="B18" s="6"/>
      <c r="C18" s="15"/>
      <c r="D18" s="14"/>
      <c r="E18" s="13"/>
      <c r="F18" s="22"/>
      <c r="G18" s="13"/>
      <c r="H18" s="13"/>
      <c r="I18" s="13"/>
      <c r="J18" s="29"/>
      <c r="T18" s="2"/>
    </row>
    <row r="19" spans="2:24">
      <c r="B19" s="6"/>
      <c r="C19" s="15"/>
      <c r="D19" s="14"/>
      <c r="E19" s="13"/>
      <c r="F19" s="22"/>
      <c r="G19" s="13"/>
      <c r="H19" s="13"/>
      <c r="I19" s="13"/>
      <c r="J19" s="29"/>
      <c r="T19" s="2"/>
    </row>
    <row r="20" spans="2:24">
      <c r="B20" s="6"/>
      <c r="C20" s="15"/>
      <c r="D20" s="14"/>
      <c r="E20" s="13"/>
      <c r="F20" s="22"/>
      <c r="G20" s="13"/>
      <c r="H20" s="13"/>
      <c r="I20" s="13"/>
      <c r="J20" s="29"/>
      <c r="T20" s="2"/>
    </row>
    <row r="21" spans="2:24">
      <c r="B21" s="6"/>
      <c r="C21" s="15"/>
      <c r="D21" s="14"/>
      <c r="E21" s="13"/>
      <c r="F21" s="22"/>
      <c r="G21" s="13"/>
      <c r="H21" s="13"/>
      <c r="I21" s="13"/>
      <c r="J21" s="29"/>
      <c r="T21" s="2"/>
    </row>
    <row r="22" spans="2:24">
      <c r="B22" s="6"/>
      <c r="C22" s="15"/>
      <c r="D22" s="14"/>
      <c r="E22" s="13"/>
      <c r="F22" s="22"/>
      <c r="G22" s="13"/>
      <c r="H22" s="13"/>
      <c r="I22" s="13"/>
      <c r="J22" s="29"/>
      <c r="T22" s="2"/>
    </row>
    <row r="23" spans="2:24">
      <c r="B23" s="6"/>
      <c r="C23" s="15"/>
      <c r="D23" s="14"/>
      <c r="E23" s="13"/>
      <c r="F23" s="22"/>
      <c r="G23" s="13"/>
      <c r="H23" s="13"/>
      <c r="I23" s="13"/>
      <c r="J23" s="13"/>
      <c r="T23" s="2"/>
    </row>
    <row r="24" spans="2:24">
      <c r="B24" s="6"/>
      <c r="C24" s="15"/>
      <c r="D24" s="14"/>
      <c r="E24" s="13"/>
      <c r="F24" s="22"/>
      <c r="G24" s="13"/>
      <c r="H24" s="13"/>
      <c r="I24" s="13"/>
      <c r="J24" s="13"/>
    </row>
    <row r="25" spans="2:24">
      <c r="B25" s="6"/>
      <c r="C25" s="15"/>
      <c r="D25" s="14"/>
      <c r="E25" s="13"/>
      <c r="F25" s="22"/>
      <c r="G25" s="13"/>
      <c r="H25" s="13"/>
      <c r="I25" s="13"/>
      <c r="J25" s="13"/>
    </row>
    <row r="26" spans="2:24">
      <c r="B26" s="6"/>
      <c r="C26" s="15"/>
      <c r="D26" s="14"/>
      <c r="E26" s="13"/>
      <c r="F26" s="22"/>
      <c r="G26" s="13"/>
      <c r="H26" s="13"/>
      <c r="I26" s="13"/>
      <c r="J26" s="13"/>
    </row>
    <row r="27" spans="2:24">
      <c r="B27" s="6"/>
      <c r="C27" s="15"/>
      <c r="D27" s="14"/>
      <c r="E27" s="13"/>
      <c r="F27" s="22"/>
      <c r="G27" s="13"/>
      <c r="H27" s="13"/>
      <c r="I27" s="13"/>
      <c r="J27" s="13"/>
    </row>
    <row r="28" spans="2:24">
      <c r="B28" s="6"/>
      <c r="C28" s="15"/>
      <c r="D28" s="14"/>
      <c r="E28" s="13"/>
      <c r="F28" s="22"/>
      <c r="G28" s="13"/>
      <c r="H28" s="13"/>
      <c r="I28" s="13"/>
      <c r="J28" s="13"/>
    </row>
    <row r="29" spans="2:24">
      <c r="B29" s="6"/>
      <c r="C29" s="15"/>
      <c r="D29" s="14"/>
      <c r="E29" s="13"/>
      <c r="F29" s="22"/>
      <c r="G29" s="13"/>
      <c r="H29" s="13"/>
      <c r="I29" s="13"/>
      <c r="J29" s="13"/>
    </row>
    <row r="30" spans="2:24">
      <c r="B30" s="6"/>
      <c r="C30" s="15"/>
      <c r="D30" s="14"/>
      <c r="E30" s="13"/>
      <c r="F30" s="22"/>
      <c r="G30" s="13"/>
      <c r="H30" s="13"/>
      <c r="I30" s="13"/>
      <c r="J30" s="13"/>
    </row>
    <row r="31" spans="2:24">
      <c r="B31" s="6"/>
      <c r="C31" s="15"/>
      <c r="D31" s="14"/>
      <c r="E31" s="13"/>
      <c r="F31" s="22"/>
      <c r="G31" s="13"/>
      <c r="H31" s="13"/>
      <c r="I31" s="13"/>
      <c r="J31" s="13"/>
    </row>
    <row r="32" spans="2:24">
      <c r="B32" s="6"/>
      <c r="C32" s="15"/>
      <c r="D32" s="14"/>
      <c r="E32" s="13"/>
      <c r="F32" s="22"/>
      <c r="G32" s="13"/>
      <c r="H32" s="13"/>
      <c r="I32" s="13"/>
      <c r="J32" s="13"/>
    </row>
    <row r="33" spans="2:10">
      <c r="B33" s="6"/>
      <c r="C33" s="15"/>
      <c r="D33" s="14"/>
      <c r="E33" s="13"/>
      <c r="F33" s="22"/>
      <c r="G33" s="13"/>
      <c r="H33" s="13"/>
      <c r="I33" s="13"/>
      <c r="J33" s="13"/>
    </row>
    <row r="34" spans="2:10">
      <c r="B34" s="6"/>
      <c r="C34" s="15"/>
      <c r="D34" s="14"/>
      <c r="E34" s="13"/>
      <c r="F34" s="22"/>
      <c r="G34" s="13"/>
      <c r="H34" s="13"/>
      <c r="I34" s="13"/>
      <c r="J34" s="13"/>
    </row>
    <row r="35" spans="2:10">
      <c r="B35" s="6"/>
      <c r="C35" s="15"/>
      <c r="D35" s="14"/>
      <c r="E35" s="13"/>
      <c r="F35" s="22"/>
      <c r="G35" s="13"/>
      <c r="H35" s="13"/>
      <c r="I35" s="13"/>
      <c r="J35" s="13"/>
    </row>
    <row r="36" spans="2:10">
      <c r="B36" s="6"/>
      <c r="C36" s="15"/>
      <c r="D36" s="14"/>
      <c r="E36" s="13"/>
      <c r="F36" s="22"/>
      <c r="G36" s="13"/>
      <c r="H36" s="13"/>
      <c r="I36" s="13"/>
      <c r="J36" s="13"/>
    </row>
    <row r="37" spans="2:10">
      <c r="B37" s="6"/>
      <c r="C37" s="15"/>
      <c r="D37" s="14"/>
      <c r="E37" s="13"/>
      <c r="F37" s="22"/>
      <c r="G37" s="13"/>
      <c r="H37" s="13"/>
      <c r="I37" s="13"/>
      <c r="J37" s="13"/>
    </row>
    <row r="38" spans="2:10">
      <c r="B38" s="6"/>
      <c r="C38" s="15"/>
      <c r="D38" s="14"/>
      <c r="E38" s="13"/>
      <c r="F38" s="22"/>
      <c r="G38" s="13"/>
      <c r="H38" s="13"/>
      <c r="I38" s="13"/>
      <c r="J38" s="13"/>
    </row>
    <row r="39" spans="2:10">
      <c r="B39" s="6"/>
      <c r="C39" s="15"/>
      <c r="D39" s="14"/>
      <c r="E39" s="13"/>
      <c r="F39" s="22"/>
      <c r="G39" s="13"/>
      <c r="H39" s="13"/>
      <c r="I39" s="13"/>
      <c r="J39" s="13"/>
    </row>
    <row r="40" spans="2:10">
      <c r="B40" s="6"/>
      <c r="C40" s="15"/>
      <c r="D40" s="14"/>
      <c r="E40" s="13"/>
      <c r="F40" s="22"/>
      <c r="G40" s="13"/>
      <c r="H40" s="13"/>
      <c r="I40" s="13"/>
      <c r="J40" s="13"/>
    </row>
    <row r="41" spans="2:10">
      <c r="B41" s="6"/>
      <c r="C41" s="15"/>
      <c r="D41" s="14"/>
      <c r="E41" s="13"/>
      <c r="F41" s="22"/>
      <c r="G41" s="13"/>
      <c r="H41" s="13"/>
      <c r="I41" s="13"/>
      <c r="J41" s="13"/>
    </row>
    <row r="42" spans="2:10">
      <c r="B42" s="6"/>
      <c r="C42" s="15"/>
      <c r="D42" s="14"/>
      <c r="E42" s="13"/>
      <c r="F42" s="22"/>
      <c r="G42" s="13"/>
      <c r="H42" s="13"/>
      <c r="I42" s="13"/>
      <c r="J42" s="13"/>
    </row>
    <row r="43" spans="2:10">
      <c r="B43" s="6"/>
      <c r="C43" s="15"/>
      <c r="D43" s="14"/>
      <c r="E43" s="13"/>
      <c r="F43" s="22"/>
      <c r="G43" s="13"/>
      <c r="H43" s="13"/>
      <c r="I43" s="13"/>
      <c r="J43" s="13"/>
    </row>
    <row r="44" spans="2:10">
      <c r="B44" s="6"/>
      <c r="C44" s="15"/>
      <c r="D44" s="14"/>
      <c r="E44" s="13"/>
      <c r="F44" s="22"/>
      <c r="G44" s="13"/>
      <c r="H44" s="13"/>
      <c r="I44" s="13"/>
      <c r="J44" s="13"/>
    </row>
    <row r="45" spans="2:10">
      <c r="B45" s="6"/>
      <c r="C45" s="16"/>
      <c r="D45" s="34"/>
      <c r="E45" s="17"/>
      <c r="F45" s="17"/>
      <c r="G45" s="17"/>
      <c r="H45" s="17"/>
      <c r="I45" s="17"/>
      <c r="J45" s="30"/>
    </row>
  </sheetData>
  <dataConsolidate/>
  <mergeCells count="1">
    <mergeCell ref="C3:D3"/>
  </mergeCells>
  <dataValidations count="28">
    <dataValidation type="list" allowBlank="1" showInputMessage="1" sqref="F41:F44 F8:F11 F4">
      <formula1>$T$1:$T$23</formula1>
    </dataValidation>
    <dataValidation type="list" allowBlank="1" showInputMessage="1" sqref="G41:G44">
      <formula1>$U$1:$U$5</formula1>
    </dataValidation>
    <dataValidation type="list" allowBlank="1" showInputMessage="1" showErrorMessage="1" sqref="I21:I44">
      <formula1>$V$1:$V$5</formula1>
    </dataValidation>
    <dataValidation type="list" allowBlank="1" showInputMessage="1" sqref="E41:E44">
      <formula1>$S$1:$S$4</formula1>
    </dataValidation>
    <dataValidation type="list" allowBlank="1" showInputMessage="1" sqref="G21:G40">
      <formula1>$U$1:$U$4</formula1>
    </dataValidation>
    <dataValidation type="list" allowBlank="1" showInputMessage="1" sqref="E22:E40">
      <formula1>$S$1:$S$3</formula1>
    </dataValidation>
    <dataValidation type="list" allowBlank="1" showInputMessage="1" sqref="F38:F40">
      <formula1>$T$1:$T$22</formula1>
    </dataValidation>
    <dataValidation type="list" allowBlank="1" showInputMessage="1" sqref="F36:F37">
      <formula1>$T$1:$T$21</formula1>
    </dataValidation>
    <dataValidation type="list" allowBlank="1" showInputMessage="1" sqref="F35">
      <formula1>$T$1:$T$20</formula1>
    </dataValidation>
    <dataValidation type="list" allowBlank="1" showInputMessage="1" sqref="F34">
      <formula1>$T$1:$T$19</formula1>
    </dataValidation>
    <dataValidation type="list" allowBlank="1" showInputMessage="1" sqref="F32:F33">
      <formula1>$T$1:$T$18</formula1>
    </dataValidation>
    <dataValidation type="list" allowBlank="1" showInputMessage="1" sqref="F31">
      <formula1>$T$1:$T$17</formula1>
    </dataValidation>
    <dataValidation type="list" allowBlank="1" showInputMessage="1" sqref="F30">
      <formula1>$T$1:$T$16</formula1>
    </dataValidation>
    <dataValidation type="list" allowBlank="1" showInputMessage="1" sqref="F29">
      <formula1>$T$1:$T$15</formula1>
    </dataValidation>
    <dataValidation type="list" allowBlank="1" showInputMessage="1" sqref="F26:F28">
      <formula1>$T$1:$T$14</formula1>
    </dataValidation>
    <dataValidation type="list" allowBlank="1" showInputMessage="1" sqref="F24:F25">
      <formula1>$T$1:$T$13</formula1>
    </dataValidation>
    <dataValidation type="list" allowBlank="1" showInputMessage="1" sqref="F23">
      <formula1>$T$1:$T$12</formula1>
    </dataValidation>
    <dataValidation type="list" allowBlank="1" showInputMessage="1" sqref="F22">
      <formula1>$T$1:$T$11</formula1>
    </dataValidation>
    <dataValidation type="list" allowBlank="1" showInputMessage="1" sqref="F20:F21">
      <formula1>$T$1:$T$10</formula1>
    </dataValidation>
    <dataValidation type="list" allowBlank="1" showInputMessage="1" sqref="E21">
      <formula1>$S$1:$S$2</formula1>
    </dataValidation>
    <dataValidation type="list" allowBlank="1" showInputMessage="1" sqref="G14:G20 G12">
      <formula1>$U$1:$U$3</formula1>
    </dataValidation>
    <dataValidation type="list" allowBlank="1" showInputMessage="1" sqref="F14:F19">
      <formula1>$T$1:$T$9</formula1>
    </dataValidation>
    <dataValidation type="list" allowBlank="1" showInputMessage="1" sqref="E14:E20 E12">
      <formula1>$S$1:$S$1</formula1>
    </dataValidation>
    <dataValidation type="list" allowBlank="1" showInputMessage="1" sqref="F12">
      <formula1>$T$1:$T$8</formula1>
    </dataValidation>
    <dataValidation type="list" allowBlank="1" showInputMessage="1" sqref="E4 E8:E11">
      <formula1>$S$1:$S$5</formula1>
    </dataValidation>
    <dataValidation type="list" allowBlank="1" showInputMessage="1" showErrorMessage="1" sqref="I4 I8:I12">
      <formula1>$V$1:$V$8</formula1>
    </dataValidation>
    <dataValidation type="list" allowBlank="1" showInputMessage="1" sqref="G4 G11">
      <formula1>$U$1:$U$2</formula1>
    </dataValidation>
    <dataValidation type="list" allowBlank="1" showInputMessage="1" sqref="G8:G10">
      <formula1>$U$1:$U$1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Outcome</vt:lpstr>
      <vt:lpstr>Income</vt:lpstr>
      <vt:lpstr>Sheet5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mouyu</dc:creator>
  <cp:lastModifiedBy>Mou Yuan Yap</cp:lastModifiedBy>
  <dcterms:created xsi:type="dcterms:W3CDTF">2017-07-19T11:54:56Z</dcterms:created>
  <dcterms:modified xsi:type="dcterms:W3CDTF">2020-02-26T13:18:44Z</dcterms:modified>
</cp:coreProperties>
</file>